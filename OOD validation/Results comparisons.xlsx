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&amp;data availability\OOD validation\"/>
    </mc:Choice>
  </mc:AlternateContent>
  <xr:revisionPtr revIDLastSave="0" documentId="13_ncr:1_{30729403-A617-49FB-916E-01A884FF198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sults comparison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" i="3" l="1"/>
  <c r="C404" i="3"/>
  <c r="C358" i="3"/>
  <c r="D406" i="3"/>
  <c r="E406" i="3"/>
  <c r="F406" i="3"/>
  <c r="G406" i="3"/>
  <c r="H406" i="3"/>
  <c r="I406" i="3"/>
  <c r="J406" i="3"/>
  <c r="D407" i="3"/>
  <c r="E407" i="3"/>
  <c r="F407" i="3"/>
  <c r="G407" i="3"/>
  <c r="H407" i="3"/>
  <c r="I407" i="3"/>
  <c r="J407" i="3"/>
  <c r="D408" i="3"/>
  <c r="E408" i="3"/>
  <c r="F408" i="3"/>
  <c r="G408" i="3"/>
  <c r="H408" i="3"/>
  <c r="I408" i="3"/>
  <c r="J408" i="3"/>
  <c r="D409" i="3"/>
  <c r="E409" i="3"/>
  <c r="F409" i="3"/>
  <c r="G409" i="3"/>
  <c r="H409" i="3"/>
  <c r="I409" i="3"/>
  <c r="J409" i="3"/>
  <c r="D410" i="3"/>
  <c r="E410" i="3"/>
  <c r="F410" i="3"/>
  <c r="G410" i="3"/>
  <c r="H410" i="3"/>
  <c r="I410" i="3"/>
  <c r="J410" i="3"/>
  <c r="D411" i="3"/>
  <c r="E411" i="3"/>
  <c r="F411" i="3"/>
  <c r="G411" i="3"/>
  <c r="H411" i="3"/>
  <c r="I411" i="3"/>
  <c r="J411" i="3"/>
  <c r="C411" i="3"/>
  <c r="C410" i="3"/>
  <c r="C409" i="3"/>
  <c r="C408" i="3"/>
  <c r="C407" i="3"/>
  <c r="C405" i="3"/>
  <c r="C406" i="3"/>
  <c r="D405" i="3"/>
  <c r="E405" i="3"/>
  <c r="F405" i="3"/>
  <c r="G405" i="3"/>
  <c r="H405" i="3"/>
  <c r="I405" i="3"/>
  <c r="J405" i="3"/>
  <c r="D404" i="3"/>
  <c r="E404" i="3"/>
  <c r="F404" i="3"/>
  <c r="G404" i="3"/>
  <c r="H404" i="3"/>
  <c r="I404" i="3"/>
  <c r="J404" i="3"/>
  <c r="B268" i="3"/>
  <c r="C313" i="3" s="1"/>
  <c r="B269" i="3"/>
  <c r="C314" i="3" s="1"/>
  <c r="B267" i="3"/>
  <c r="E312" i="3" s="1"/>
  <c r="B266" i="3"/>
  <c r="J311" i="3" s="1"/>
  <c r="B265" i="3"/>
  <c r="F310" i="3" s="1"/>
  <c r="C300" i="3"/>
  <c r="D360" i="3"/>
  <c r="E360" i="3"/>
  <c r="F360" i="3"/>
  <c r="G360" i="3"/>
  <c r="H360" i="3"/>
  <c r="I360" i="3"/>
  <c r="J360" i="3"/>
  <c r="D361" i="3"/>
  <c r="E361" i="3"/>
  <c r="F361" i="3"/>
  <c r="G361" i="3"/>
  <c r="H361" i="3"/>
  <c r="I361" i="3"/>
  <c r="J361" i="3"/>
  <c r="D362" i="3"/>
  <c r="E362" i="3"/>
  <c r="F362" i="3"/>
  <c r="G362" i="3"/>
  <c r="H362" i="3"/>
  <c r="I362" i="3"/>
  <c r="J362" i="3"/>
  <c r="D363" i="3"/>
  <c r="E363" i="3"/>
  <c r="F363" i="3"/>
  <c r="G363" i="3"/>
  <c r="H363" i="3"/>
  <c r="I363" i="3"/>
  <c r="J363" i="3"/>
  <c r="D364" i="3"/>
  <c r="E364" i="3"/>
  <c r="F364" i="3"/>
  <c r="G364" i="3"/>
  <c r="H364" i="3"/>
  <c r="I364" i="3"/>
  <c r="J364" i="3"/>
  <c r="D365" i="3"/>
  <c r="E365" i="3"/>
  <c r="F365" i="3"/>
  <c r="G365" i="3"/>
  <c r="H365" i="3"/>
  <c r="I365" i="3"/>
  <c r="J365" i="3"/>
  <c r="C365" i="3"/>
  <c r="C364" i="3"/>
  <c r="C363" i="3"/>
  <c r="C362" i="3"/>
  <c r="C361" i="3"/>
  <c r="C360" i="3"/>
  <c r="D359" i="3"/>
  <c r="E359" i="3"/>
  <c r="F359" i="3"/>
  <c r="G359" i="3"/>
  <c r="H359" i="3"/>
  <c r="I359" i="3"/>
  <c r="J359" i="3"/>
  <c r="C359" i="3"/>
  <c r="D358" i="3"/>
  <c r="E358" i="3"/>
  <c r="F358" i="3"/>
  <c r="G358" i="3"/>
  <c r="H358" i="3"/>
  <c r="I358" i="3"/>
  <c r="J358" i="3"/>
  <c r="H67" i="3"/>
  <c r="D67" i="3"/>
  <c r="D48" i="3"/>
  <c r="C325" i="3"/>
  <c r="C304" i="3"/>
  <c r="B264" i="3"/>
  <c r="E309" i="3" s="1"/>
  <c r="B263" i="3"/>
  <c r="E308" i="3" s="1"/>
  <c r="B260" i="3"/>
  <c r="H305" i="3" s="1"/>
  <c r="B262" i="3"/>
  <c r="C307" i="3" s="1"/>
  <c r="B261" i="3"/>
  <c r="C306" i="3" s="1"/>
  <c r="D251" i="3"/>
  <c r="E251" i="3"/>
  <c r="F251" i="3"/>
  <c r="G251" i="3"/>
  <c r="H251" i="3"/>
  <c r="I251" i="3"/>
  <c r="J251" i="3"/>
  <c r="C251" i="3"/>
  <c r="D250" i="3"/>
  <c r="E250" i="3"/>
  <c r="F250" i="3"/>
  <c r="G250" i="3"/>
  <c r="H250" i="3"/>
  <c r="I250" i="3"/>
  <c r="J250" i="3"/>
  <c r="C250" i="3"/>
  <c r="D310" i="3" l="1"/>
  <c r="G310" i="3"/>
  <c r="D314" i="3"/>
  <c r="E314" i="3"/>
  <c r="J314" i="3"/>
  <c r="F314" i="3"/>
  <c r="I311" i="3"/>
  <c r="H311" i="3"/>
  <c r="G314" i="3"/>
  <c r="G311" i="3"/>
  <c r="I314" i="3"/>
  <c r="J312" i="3"/>
  <c r="E311" i="3"/>
  <c r="F311" i="3"/>
  <c r="D311" i="3"/>
  <c r="C311" i="3"/>
  <c r="E310" i="3"/>
  <c r="F313" i="3"/>
  <c r="J313" i="3"/>
  <c r="H312" i="3"/>
  <c r="H313" i="3"/>
  <c r="C309" i="3"/>
  <c r="G312" i="3"/>
  <c r="G313" i="3"/>
  <c r="I313" i="3"/>
  <c r="E313" i="3"/>
  <c r="D313" i="3"/>
  <c r="I312" i="3"/>
  <c r="F312" i="3"/>
  <c r="D312" i="3"/>
  <c r="H310" i="3"/>
  <c r="C312" i="3"/>
  <c r="H314" i="3"/>
  <c r="C310" i="3"/>
  <c r="J310" i="3"/>
  <c r="I310" i="3"/>
  <c r="M67" i="3"/>
  <c r="M88" i="3" s="1"/>
  <c r="L67" i="3"/>
  <c r="L88" i="3" s="1"/>
  <c r="O67" i="3"/>
  <c r="O88" i="3" s="1"/>
  <c r="N67" i="3"/>
  <c r="N88" i="3" s="1"/>
  <c r="P67" i="3"/>
  <c r="P88" i="3" s="1"/>
  <c r="K67" i="3"/>
  <c r="K88" i="3" s="1"/>
  <c r="Q67" i="3"/>
  <c r="Q88" i="3" s="1"/>
  <c r="J67" i="3"/>
  <c r="J88" i="3" s="1"/>
  <c r="H307" i="3"/>
  <c r="J307" i="3"/>
  <c r="N48" i="3"/>
  <c r="I307" i="3"/>
  <c r="F307" i="3"/>
  <c r="G305" i="3"/>
  <c r="J48" i="3"/>
  <c r="Q48" i="3"/>
  <c r="J309" i="3"/>
  <c r="H309" i="3"/>
  <c r="F309" i="3"/>
  <c r="K48" i="3"/>
  <c r="D309" i="3"/>
  <c r="G309" i="3"/>
  <c r="L48" i="3"/>
  <c r="F305" i="3"/>
  <c r="E305" i="3"/>
  <c r="P48" i="3"/>
  <c r="I309" i="3"/>
  <c r="M48" i="3"/>
  <c r="D308" i="3"/>
  <c r="D305" i="3"/>
  <c r="O48" i="3"/>
  <c r="C308" i="3"/>
  <c r="G307" i="3"/>
  <c r="D307" i="3"/>
  <c r="C305" i="3"/>
  <c r="J305" i="3"/>
  <c r="G308" i="3"/>
  <c r="E306" i="3"/>
  <c r="E307" i="3"/>
  <c r="J306" i="3"/>
  <c r="I306" i="3"/>
  <c r="H306" i="3"/>
  <c r="G306" i="3"/>
  <c r="H308" i="3"/>
  <c r="I305" i="3"/>
  <c r="F308" i="3"/>
  <c r="D306" i="3"/>
  <c r="J308" i="3"/>
  <c r="I308" i="3"/>
  <c r="F306" i="3"/>
  <c r="C126" i="3"/>
  <c r="D126" i="3"/>
  <c r="H87" i="3"/>
  <c r="D87" i="3"/>
  <c r="H86" i="3"/>
  <c r="D86" i="3"/>
  <c r="H85" i="3"/>
  <c r="D85" i="3"/>
  <c r="J63" i="3"/>
  <c r="J84" i="3" s="1"/>
  <c r="V84" i="3" s="1"/>
  <c r="H66" i="3"/>
  <c r="D66" i="3"/>
  <c r="H65" i="3"/>
  <c r="D65" i="3"/>
  <c r="H64" i="3"/>
  <c r="D64" i="3"/>
  <c r="J44" i="3"/>
  <c r="H46" i="3"/>
  <c r="H47" i="3"/>
  <c r="H45" i="3"/>
  <c r="D47" i="3"/>
  <c r="D46" i="3"/>
  <c r="D45" i="3"/>
  <c r="N172" i="3"/>
  <c r="D112" i="3"/>
  <c r="E112" i="3"/>
  <c r="F112" i="3"/>
  <c r="G112" i="3"/>
  <c r="H112" i="3"/>
  <c r="I112" i="3"/>
  <c r="J112" i="3"/>
  <c r="C112" i="3"/>
  <c r="D325" i="3"/>
  <c r="E325" i="3"/>
  <c r="F325" i="3"/>
  <c r="G325" i="3"/>
  <c r="H325" i="3"/>
  <c r="I325" i="3"/>
  <c r="J325" i="3"/>
  <c r="N175" i="3"/>
  <c r="N176" i="3"/>
  <c r="N181" i="3"/>
  <c r="S181" i="3"/>
  <c r="S180" i="3"/>
  <c r="C247" i="3"/>
  <c r="D247" i="3"/>
  <c r="E247" i="3"/>
  <c r="F247" i="3"/>
  <c r="G247" i="3"/>
  <c r="H247" i="3"/>
  <c r="I247" i="3"/>
  <c r="J247" i="3"/>
  <c r="C303" i="3"/>
  <c r="C301" i="3"/>
  <c r="D301" i="3"/>
  <c r="E301" i="3"/>
  <c r="F301" i="3"/>
  <c r="G301" i="3"/>
  <c r="H301" i="3"/>
  <c r="I301" i="3"/>
  <c r="J301" i="3"/>
  <c r="C302" i="3"/>
  <c r="D302" i="3"/>
  <c r="E302" i="3"/>
  <c r="F302" i="3"/>
  <c r="G302" i="3"/>
  <c r="H302" i="3"/>
  <c r="I302" i="3"/>
  <c r="J302" i="3"/>
  <c r="D303" i="3"/>
  <c r="E303" i="3"/>
  <c r="F303" i="3"/>
  <c r="G303" i="3"/>
  <c r="H303" i="3"/>
  <c r="I303" i="3"/>
  <c r="J303" i="3"/>
  <c r="D304" i="3"/>
  <c r="E304" i="3"/>
  <c r="F304" i="3"/>
  <c r="G304" i="3"/>
  <c r="H304" i="3"/>
  <c r="I304" i="3"/>
  <c r="J304" i="3"/>
  <c r="D300" i="3"/>
  <c r="E300" i="3"/>
  <c r="F300" i="3"/>
  <c r="G300" i="3"/>
  <c r="H300" i="3"/>
  <c r="I300" i="3"/>
  <c r="J300" i="3"/>
  <c r="C248" i="3"/>
  <c r="D248" i="3"/>
  <c r="E248" i="3"/>
  <c r="F248" i="3"/>
  <c r="G248" i="3"/>
  <c r="H248" i="3"/>
  <c r="I248" i="3"/>
  <c r="J248" i="3"/>
  <c r="C249" i="3"/>
  <c r="D249" i="3"/>
  <c r="E249" i="3"/>
  <c r="F249" i="3"/>
  <c r="G249" i="3"/>
  <c r="H249" i="3"/>
  <c r="I249" i="3"/>
  <c r="J249" i="3"/>
  <c r="N174" i="3"/>
  <c r="N177" i="3"/>
  <c r="O181" i="3"/>
  <c r="P181" i="3"/>
  <c r="Q181" i="3"/>
  <c r="R181" i="3"/>
  <c r="T181" i="3"/>
  <c r="U181" i="3"/>
  <c r="O172" i="3"/>
  <c r="P172" i="3"/>
  <c r="Q172" i="3"/>
  <c r="R172" i="3"/>
  <c r="S172" i="3"/>
  <c r="T172" i="3"/>
  <c r="U172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5" i="3"/>
  <c r="P175" i="3"/>
  <c r="Q175" i="3"/>
  <c r="R175" i="3"/>
  <c r="S175" i="3"/>
  <c r="T175" i="3"/>
  <c r="U175" i="3"/>
  <c r="O176" i="3"/>
  <c r="P176" i="3"/>
  <c r="Q176" i="3"/>
  <c r="R176" i="3"/>
  <c r="S176" i="3"/>
  <c r="T176" i="3"/>
  <c r="U176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O179" i="3"/>
  <c r="P179" i="3"/>
  <c r="Q179" i="3"/>
  <c r="R179" i="3"/>
  <c r="S179" i="3"/>
  <c r="T179" i="3"/>
  <c r="U179" i="3"/>
  <c r="O180" i="3"/>
  <c r="P180" i="3"/>
  <c r="Q180" i="3"/>
  <c r="R180" i="3"/>
  <c r="T180" i="3"/>
  <c r="U180" i="3"/>
  <c r="N180" i="3"/>
  <c r="N179" i="3"/>
  <c r="N178" i="3"/>
  <c r="N173" i="3"/>
  <c r="H128" i="3"/>
  <c r="C160" i="3"/>
  <c r="D166" i="3"/>
  <c r="E166" i="3"/>
  <c r="F166" i="3"/>
  <c r="G166" i="3"/>
  <c r="H166" i="3"/>
  <c r="I166" i="3"/>
  <c r="J166" i="3"/>
  <c r="C166" i="3"/>
  <c r="D165" i="3"/>
  <c r="E165" i="3"/>
  <c r="F165" i="3"/>
  <c r="G165" i="3"/>
  <c r="H165" i="3"/>
  <c r="I165" i="3"/>
  <c r="J165" i="3"/>
  <c r="C165" i="3"/>
  <c r="D164" i="3"/>
  <c r="E164" i="3"/>
  <c r="F164" i="3"/>
  <c r="G164" i="3"/>
  <c r="H164" i="3"/>
  <c r="I164" i="3"/>
  <c r="J164" i="3"/>
  <c r="C164" i="3"/>
  <c r="D161" i="3"/>
  <c r="E161" i="3"/>
  <c r="F161" i="3"/>
  <c r="G161" i="3"/>
  <c r="H161" i="3"/>
  <c r="I161" i="3"/>
  <c r="J161" i="3"/>
  <c r="D162" i="3"/>
  <c r="E162" i="3"/>
  <c r="F162" i="3"/>
  <c r="G162" i="3"/>
  <c r="H162" i="3"/>
  <c r="I162" i="3"/>
  <c r="J162" i="3"/>
  <c r="D163" i="3"/>
  <c r="E163" i="3"/>
  <c r="F163" i="3"/>
  <c r="G163" i="3"/>
  <c r="H163" i="3"/>
  <c r="I163" i="3"/>
  <c r="J163" i="3"/>
  <c r="C163" i="3"/>
  <c r="C162" i="3"/>
  <c r="C161" i="3"/>
  <c r="D160" i="3"/>
  <c r="E160" i="3"/>
  <c r="F160" i="3"/>
  <c r="G160" i="3"/>
  <c r="H160" i="3"/>
  <c r="I160" i="3"/>
  <c r="J160" i="3"/>
  <c r="D159" i="3"/>
  <c r="E159" i="3"/>
  <c r="F159" i="3"/>
  <c r="G159" i="3"/>
  <c r="H159" i="3"/>
  <c r="I159" i="3"/>
  <c r="J159" i="3"/>
  <c r="C159" i="3"/>
  <c r="C127" i="3"/>
  <c r="D158" i="3"/>
  <c r="E158" i="3"/>
  <c r="F158" i="3"/>
  <c r="G158" i="3"/>
  <c r="H158" i="3"/>
  <c r="I158" i="3"/>
  <c r="J158" i="3"/>
  <c r="C158" i="3"/>
  <c r="C326" i="3" l="1"/>
  <c r="J47" i="3"/>
  <c r="F327" i="3"/>
  <c r="H326" i="3"/>
  <c r="D327" i="3"/>
  <c r="J66" i="3"/>
  <c r="J87" i="3" s="1"/>
  <c r="H327" i="3"/>
  <c r="J326" i="3"/>
  <c r="V88" i="3"/>
  <c r="X88" i="3"/>
  <c r="J327" i="3"/>
  <c r="G326" i="3"/>
  <c r="Y88" i="3"/>
  <c r="I327" i="3"/>
  <c r="AC88" i="3"/>
  <c r="E326" i="3"/>
  <c r="C327" i="3"/>
  <c r="E327" i="3"/>
  <c r="D326" i="3"/>
  <c r="I326" i="3"/>
  <c r="AB88" i="3"/>
  <c r="W88" i="3"/>
  <c r="F326" i="3"/>
  <c r="AA88" i="3"/>
  <c r="G327" i="3"/>
  <c r="Z88" i="3"/>
  <c r="Q64" i="3"/>
  <c r="Q85" i="3" s="1"/>
  <c r="J65" i="3"/>
  <c r="J86" i="3" s="1"/>
  <c r="C322" i="3"/>
  <c r="C323" i="3"/>
  <c r="C324" i="3"/>
  <c r="Q65" i="3"/>
  <c r="Q86" i="3" s="1"/>
  <c r="P65" i="3"/>
  <c r="P86" i="3" s="1"/>
  <c r="O65" i="3"/>
  <c r="O86" i="3" s="1"/>
  <c r="M65" i="3"/>
  <c r="M86" i="3" s="1"/>
  <c r="L65" i="3"/>
  <c r="L86" i="3" s="1"/>
  <c r="K65" i="3"/>
  <c r="K86" i="3" s="1"/>
  <c r="N65" i="3"/>
  <c r="N86" i="3" s="1"/>
  <c r="N64" i="3"/>
  <c r="N85" i="3" s="1"/>
  <c r="L64" i="3"/>
  <c r="L85" i="3" s="1"/>
  <c r="N66" i="3"/>
  <c r="N87" i="3" s="1"/>
  <c r="K64" i="3"/>
  <c r="K85" i="3" s="1"/>
  <c r="O64" i="3"/>
  <c r="O85" i="3" s="1"/>
  <c r="O66" i="3"/>
  <c r="O87" i="3" s="1"/>
  <c r="M66" i="3"/>
  <c r="M87" i="3" s="1"/>
  <c r="J64" i="3"/>
  <c r="J85" i="3" s="1"/>
  <c r="P64" i="3"/>
  <c r="P85" i="3" s="1"/>
  <c r="M64" i="3"/>
  <c r="M85" i="3" s="1"/>
  <c r="L66" i="3"/>
  <c r="L87" i="3" s="1"/>
  <c r="Q66" i="3"/>
  <c r="Q87" i="3" s="1"/>
  <c r="P66" i="3"/>
  <c r="P87" i="3" s="1"/>
  <c r="K46" i="3"/>
  <c r="K66" i="3"/>
  <c r="K87" i="3" s="1"/>
  <c r="L47" i="3"/>
  <c r="J45" i="3"/>
  <c r="K47" i="3"/>
  <c r="Q46" i="3"/>
  <c r="P46" i="3"/>
  <c r="O46" i="3"/>
  <c r="N46" i="3"/>
  <c r="J46" i="3"/>
  <c r="P47" i="3"/>
  <c r="N45" i="3"/>
  <c r="P45" i="3"/>
  <c r="O47" i="3"/>
  <c r="M45" i="3"/>
  <c r="Q47" i="3"/>
  <c r="N47" i="3"/>
  <c r="L45" i="3"/>
  <c r="O45" i="3"/>
  <c r="M47" i="3"/>
  <c r="K45" i="3"/>
  <c r="M46" i="3"/>
  <c r="L46" i="3"/>
  <c r="Q45" i="3"/>
  <c r="G323" i="3"/>
  <c r="F323" i="3"/>
  <c r="H322" i="3"/>
  <c r="G322" i="3"/>
  <c r="J322" i="3"/>
  <c r="J324" i="3"/>
  <c r="H324" i="3"/>
  <c r="I322" i="3"/>
  <c r="D323" i="3"/>
  <c r="I324" i="3"/>
  <c r="E324" i="3"/>
  <c r="I323" i="3"/>
  <c r="J323" i="3"/>
  <c r="F322" i="3"/>
  <c r="E322" i="3"/>
  <c r="D322" i="3"/>
  <c r="H323" i="3"/>
  <c r="G324" i="3"/>
  <c r="F324" i="3"/>
  <c r="D324" i="3"/>
  <c r="E323" i="3"/>
  <c r="D134" i="3"/>
  <c r="E134" i="3"/>
  <c r="F134" i="3"/>
  <c r="G134" i="3"/>
  <c r="H134" i="3"/>
  <c r="I134" i="3"/>
  <c r="J134" i="3"/>
  <c r="C134" i="3"/>
  <c r="D133" i="3"/>
  <c r="E133" i="3"/>
  <c r="F133" i="3"/>
  <c r="G133" i="3"/>
  <c r="H133" i="3"/>
  <c r="I133" i="3"/>
  <c r="J133" i="3"/>
  <c r="C133" i="3"/>
  <c r="D132" i="3"/>
  <c r="E132" i="3"/>
  <c r="F132" i="3"/>
  <c r="G132" i="3"/>
  <c r="H132" i="3"/>
  <c r="I132" i="3"/>
  <c r="J132" i="3"/>
  <c r="C132" i="3"/>
  <c r="D131" i="3"/>
  <c r="E131" i="3"/>
  <c r="F131" i="3"/>
  <c r="G131" i="3"/>
  <c r="H131" i="3"/>
  <c r="I131" i="3"/>
  <c r="J131" i="3"/>
  <c r="C131" i="3"/>
  <c r="D130" i="3"/>
  <c r="E130" i="3"/>
  <c r="F130" i="3"/>
  <c r="G130" i="3"/>
  <c r="H130" i="3"/>
  <c r="I130" i="3"/>
  <c r="J130" i="3"/>
  <c r="C130" i="3"/>
  <c r="D129" i="3"/>
  <c r="E129" i="3"/>
  <c r="F129" i="3"/>
  <c r="G129" i="3"/>
  <c r="H129" i="3"/>
  <c r="I129" i="3"/>
  <c r="J129" i="3"/>
  <c r="C129" i="3"/>
  <c r="D128" i="3"/>
  <c r="E128" i="3"/>
  <c r="F128" i="3"/>
  <c r="G128" i="3"/>
  <c r="I128" i="3"/>
  <c r="J128" i="3"/>
  <c r="C128" i="3"/>
  <c r="D127" i="3"/>
  <c r="E127" i="3"/>
  <c r="F127" i="3"/>
  <c r="G127" i="3"/>
  <c r="H127" i="3"/>
  <c r="I127" i="3"/>
  <c r="J127" i="3"/>
  <c r="J126" i="3"/>
  <c r="E126" i="3"/>
  <c r="F126" i="3"/>
  <c r="G126" i="3"/>
  <c r="H126" i="3"/>
  <c r="I126" i="3"/>
  <c r="Q63" i="3"/>
  <c r="Q84" i="3" s="1"/>
  <c r="AC84" i="3" s="1"/>
  <c r="K63" i="3"/>
  <c r="K84" i="3" s="1"/>
  <c r="W84" i="3" s="1"/>
  <c r="L63" i="3"/>
  <c r="L84" i="3" s="1"/>
  <c r="X84" i="3" s="1"/>
  <c r="M63" i="3"/>
  <c r="M84" i="3" s="1"/>
  <c r="Y84" i="3" s="1"/>
  <c r="N63" i="3"/>
  <c r="N84" i="3" s="1"/>
  <c r="Z84" i="3" s="1"/>
  <c r="O63" i="3"/>
  <c r="O84" i="3" s="1"/>
  <c r="AA84" i="3" s="1"/>
  <c r="P63" i="3"/>
  <c r="P84" i="3" s="1"/>
  <c r="AB84" i="3" s="1"/>
  <c r="D83" i="3"/>
  <c r="D82" i="3"/>
  <c r="D81" i="3"/>
  <c r="D80" i="3"/>
  <c r="D79" i="3"/>
  <c r="D78" i="3"/>
  <c r="D77" i="3"/>
  <c r="D76" i="3"/>
  <c r="D75" i="3"/>
  <c r="D62" i="3"/>
  <c r="N62" i="3" s="1"/>
  <c r="N83" i="3" s="1"/>
  <c r="Z83" i="3" s="1"/>
  <c r="D61" i="3"/>
  <c r="J61" i="3" s="1"/>
  <c r="J82" i="3" s="1"/>
  <c r="V82" i="3" s="1"/>
  <c r="D60" i="3"/>
  <c r="L60" i="3" s="1"/>
  <c r="L81" i="3" s="1"/>
  <c r="X81" i="3" s="1"/>
  <c r="D59" i="3"/>
  <c r="J59" i="3" s="1"/>
  <c r="J80" i="3" s="1"/>
  <c r="V80" i="3" s="1"/>
  <c r="D58" i="3"/>
  <c r="J58" i="3" s="1"/>
  <c r="J79" i="3" s="1"/>
  <c r="V79" i="3" s="1"/>
  <c r="D57" i="3"/>
  <c r="L57" i="3" s="1"/>
  <c r="L78" i="3" s="1"/>
  <c r="X78" i="3" s="1"/>
  <c r="D56" i="3"/>
  <c r="M56" i="3" s="1"/>
  <c r="M77" i="3" s="1"/>
  <c r="Y77" i="3" s="1"/>
  <c r="D55" i="3"/>
  <c r="K55" i="3" s="1"/>
  <c r="K76" i="3" s="1"/>
  <c r="W76" i="3" s="1"/>
  <c r="D54" i="3"/>
  <c r="K44" i="3"/>
  <c r="L44" i="3"/>
  <c r="M44" i="3"/>
  <c r="N44" i="3"/>
  <c r="O44" i="3"/>
  <c r="P44" i="3"/>
  <c r="Q44" i="3"/>
  <c r="D43" i="3"/>
  <c r="L43" i="3" s="1"/>
  <c r="D42" i="3"/>
  <c r="O42" i="3" s="1"/>
  <c r="D41" i="3"/>
  <c r="J41" i="3" s="1"/>
  <c r="D40" i="3"/>
  <c r="M40" i="3" s="1"/>
  <c r="D39" i="3"/>
  <c r="J39" i="3" s="1"/>
  <c r="D38" i="3"/>
  <c r="K38" i="3" s="1"/>
  <c r="D37" i="3"/>
  <c r="J37" i="3" s="1"/>
  <c r="D35" i="3"/>
  <c r="D36" i="3"/>
  <c r="J36" i="3" s="1"/>
  <c r="C17" i="3"/>
  <c r="D17" i="3"/>
  <c r="E17" i="3"/>
  <c r="F17" i="3"/>
  <c r="G17" i="3"/>
  <c r="H17" i="3"/>
  <c r="I17" i="3"/>
  <c r="J17" i="3"/>
  <c r="C18" i="3"/>
  <c r="D18" i="3"/>
  <c r="E18" i="3"/>
  <c r="F18" i="3"/>
  <c r="G18" i="3"/>
  <c r="H18" i="3"/>
  <c r="I18" i="3"/>
  <c r="J18" i="3"/>
  <c r="C19" i="3"/>
  <c r="D19" i="3"/>
  <c r="E19" i="3"/>
  <c r="F19" i="3"/>
  <c r="G19" i="3"/>
  <c r="H19" i="3"/>
  <c r="I19" i="3"/>
  <c r="J19" i="3"/>
  <c r="C20" i="3"/>
  <c r="D20" i="3"/>
  <c r="E20" i="3"/>
  <c r="F20" i="3"/>
  <c r="G20" i="3"/>
  <c r="H20" i="3"/>
  <c r="I20" i="3"/>
  <c r="J20" i="3"/>
  <c r="C21" i="3"/>
  <c r="D21" i="3"/>
  <c r="E21" i="3"/>
  <c r="F21" i="3"/>
  <c r="G21" i="3"/>
  <c r="H21" i="3"/>
  <c r="I21" i="3"/>
  <c r="J21" i="3"/>
  <c r="D16" i="3"/>
  <c r="E16" i="3"/>
  <c r="F16" i="3"/>
  <c r="G16" i="3"/>
  <c r="H16" i="3"/>
  <c r="I16" i="3"/>
  <c r="J16" i="3"/>
  <c r="C16" i="3"/>
  <c r="K37" i="3" l="1"/>
  <c r="Q40" i="3"/>
  <c r="L61" i="3"/>
  <c r="L82" i="3" s="1"/>
  <c r="X82" i="3" s="1"/>
  <c r="K61" i="3"/>
  <c r="K82" i="3" s="1"/>
  <c r="W82" i="3" s="1"/>
  <c r="Q54" i="3"/>
  <c r="Q75" i="3" s="1"/>
  <c r="AC75" i="3" s="1"/>
  <c r="J54" i="3"/>
  <c r="J75" i="3" s="1"/>
  <c r="V75" i="3" s="1"/>
  <c r="J55" i="3"/>
  <c r="J76" i="3" s="1"/>
  <c r="V76" i="3" s="1"/>
  <c r="P60" i="3"/>
  <c r="P81" i="3" s="1"/>
  <c r="AB81" i="3" s="1"/>
  <c r="L35" i="3"/>
  <c r="J35" i="3"/>
  <c r="O60" i="3"/>
  <c r="O81" i="3" s="1"/>
  <c r="AA81" i="3" s="1"/>
  <c r="Q62" i="3"/>
  <c r="Q83" i="3" s="1"/>
  <c r="AC83" i="3" s="1"/>
  <c r="P62" i="3"/>
  <c r="P83" i="3" s="1"/>
  <c r="AB83" i="3" s="1"/>
  <c r="O62" i="3"/>
  <c r="O83" i="3" s="1"/>
  <c r="AA83" i="3" s="1"/>
  <c r="L62" i="3"/>
  <c r="L83" i="3" s="1"/>
  <c r="X83" i="3" s="1"/>
  <c r="K62" i="3"/>
  <c r="K83" i="3" s="1"/>
  <c r="W83" i="3" s="1"/>
  <c r="N61" i="3"/>
  <c r="N82" i="3" s="1"/>
  <c r="Z82" i="3" s="1"/>
  <c r="J62" i="3"/>
  <c r="J83" i="3" s="1"/>
  <c r="V83" i="3" s="1"/>
  <c r="L42" i="3"/>
  <c r="M61" i="3"/>
  <c r="M82" i="3" s="1"/>
  <c r="Y82" i="3" s="1"/>
  <c r="P42" i="3"/>
  <c r="J56" i="3"/>
  <c r="J77" i="3" s="1"/>
  <c r="V77" i="3" s="1"/>
  <c r="N41" i="3"/>
  <c r="N55" i="3"/>
  <c r="N76" i="3" s="1"/>
  <c r="Z76" i="3" s="1"/>
  <c r="Q43" i="3"/>
  <c r="P43" i="3"/>
  <c r="N42" i="3"/>
  <c r="M42" i="3"/>
  <c r="K42" i="3"/>
  <c r="J42" i="3"/>
  <c r="O41" i="3"/>
  <c r="M62" i="3"/>
  <c r="M83" i="3" s="1"/>
  <c r="Y83" i="3" s="1"/>
  <c r="M41" i="3"/>
  <c r="L41" i="3"/>
  <c r="J43" i="3"/>
  <c r="L56" i="3"/>
  <c r="L77" i="3" s="1"/>
  <c r="X77" i="3" s="1"/>
  <c r="Q42" i="3"/>
  <c r="K56" i="3"/>
  <c r="K77" i="3" s="1"/>
  <c r="W77" i="3" s="1"/>
  <c r="L55" i="3"/>
  <c r="L76" i="3" s="1"/>
  <c r="X76" i="3" s="1"/>
  <c r="P40" i="3"/>
  <c r="L59" i="3"/>
  <c r="L80" i="3" s="1"/>
  <c r="X80" i="3" s="1"/>
  <c r="J40" i="3"/>
  <c r="K59" i="3"/>
  <c r="K80" i="3" s="1"/>
  <c r="W80" i="3" s="1"/>
  <c r="O43" i="3"/>
  <c r="M39" i="3"/>
  <c r="Q57" i="3"/>
  <c r="Q78" i="3" s="1"/>
  <c r="AC78" i="3" s="1"/>
  <c r="M55" i="3"/>
  <c r="M76" i="3" s="1"/>
  <c r="Y76" i="3" s="1"/>
  <c r="N43" i="3"/>
  <c r="L39" i="3"/>
  <c r="P57" i="3"/>
  <c r="P78" i="3" s="1"/>
  <c r="AB78" i="3" s="1"/>
  <c r="P35" i="3"/>
  <c r="K43" i="3"/>
  <c r="Q37" i="3"/>
  <c r="O57" i="3"/>
  <c r="O78" i="3" s="1"/>
  <c r="AA78" i="3" s="1"/>
  <c r="O35" i="3"/>
  <c r="P37" i="3"/>
  <c r="N57" i="3"/>
  <c r="N78" i="3" s="1"/>
  <c r="Z78" i="3" s="1"/>
  <c r="K35" i="3"/>
  <c r="O37" i="3"/>
  <c r="M57" i="3"/>
  <c r="M78" i="3" s="1"/>
  <c r="Y78" i="3" s="1"/>
  <c r="Q35" i="3"/>
  <c r="N37" i="3"/>
  <c r="K57" i="3"/>
  <c r="K78" i="3" s="1"/>
  <c r="W78" i="3" s="1"/>
  <c r="M36" i="3"/>
  <c r="M37" i="3"/>
  <c r="J57" i="3"/>
  <c r="J78" i="3" s="1"/>
  <c r="V78" i="3" s="1"/>
  <c r="L36" i="3"/>
  <c r="L37" i="3"/>
  <c r="Q56" i="3"/>
  <c r="Q77" i="3" s="1"/>
  <c r="AC77" i="3" s="1"/>
  <c r="P56" i="3"/>
  <c r="P77" i="3" s="1"/>
  <c r="AB77" i="3" s="1"/>
  <c r="O56" i="3"/>
  <c r="O77" i="3" s="1"/>
  <c r="AA77" i="3" s="1"/>
  <c r="N58" i="3"/>
  <c r="N79" i="3" s="1"/>
  <c r="Z79" i="3" s="1"/>
  <c r="M58" i="3"/>
  <c r="M79" i="3" s="1"/>
  <c r="Y79" i="3" s="1"/>
  <c r="L40" i="3"/>
  <c r="J38" i="3"/>
  <c r="P54" i="3"/>
  <c r="P75" i="3" s="1"/>
  <c r="AB75" i="3" s="1"/>
  <c r="K60" i="3"/>
  <c r="K81" i="3" s="1"/>
  <c r="W81" i="3" s="1"/>
  <c r="K40" i="3"/>
  <c r="O54" i="3"/>
  <c r="O75" i="3" s="1"/>
  <c r="AA75" i="3" s="1"/>
  <c r="J60" i="3"/>
  <c r="J81" i="3" s="1"/>
  <c r="V81" i="3" s="1"/>
  <c r="Q59" i="3"/>
  <c r="Q80" i="3" s="1"/>
  <c r="AC80" i="3" s="1"/>
  <c r="N35" i="3"/>
  <c r="P39" i="3"/>
  <c r="L54" i="3"/>
  <c r="L75" i="3" s="1"/>
  <c r="X75" i="3" s="1"/>
  <c r="Q39" i="3"/>
  <c r="O59" i="3"/>
  <c r="O80" i="3" s="1"/>
  <c r="AA80" i="3" s="1"/>
  <c r="M35" i="3"/>
  <c r="Q41" i="3"/>
  <c r="O39" i="3"/>
  <c r="P61" i="3"/>
  <c r="P82" i="3" s="1"/>
  <c r="AB82" i="3" s="1"/>
  <c r="N59" i="3"/>
  <c r="N80" i="3" s="1"/>
  <c r="Z80" i="3" s="1"/>
  <c r="N54" i="3"/>
  <c r="N75" i="3" s="1"/>
  <c r="Z75" i="3" s="1"/>
  <c r="M54" i="3"/>
  <c r="M75" i="3" s="1"/>
  <c r="Y75" i="3" s="1"/>
  <c r="P59" i="3"/>
  <c r="P80" i="3" s="1"/>
  <c r="AB80" i="3" s="1"/>
  <c r="Q61" i="3"/>
  <c r="Q82" i="3" s="1"/>
  <c r="AC82" i="3" s="1"/>
  <c r="P41" i="3"/>
  <c r="N39" i="3"/>
  <c r="K54" i="3"/>
  <c r="K75" i="3" s="1"/>
  <c r="W75" i="3" s="1"/>
  <c r="O61" i="3"/>
  <c r="O82" i="3" s="1"/>
  <c r="AA82" i="3" s="1"/>
  <c r="M59" i="3"/>
  <c r="M80" i="3" s="1"/>
  <c r="Y80" i="3" s="1"/>
  <c r="Q38" i="3"/>
  <c r="P55" i="3"/>
  <c r="P76" i="3" s="1"/>
  <c r="AB76" i="3" s="1"/>
  <c r="N56" i="3"/>
  <c r="N77" i="3" s="1"/>
  <c r="Z77" i="3" s="1"/>
  <c r="Q36" i="3"/>
  <c r="K39" i="3"/>
  <c r="P36" i="3"/>
  <c r="Q55" i="3"/>
  <c r="Q76" i="3" s="1"/>
  <c r="AC76" i="3" s="1"/>
  <c r="Q58" i="3"/>
  <c r="Q79" i="3" s="1"/>
  <c r="AC79" i="3" s="1"/>
  <c r="O36" i="3"/>
  <c r="M43" i="3"/>
  <c r="K41" i="3"/>
  <c r="P58" i="3"/>
  <c r="P79" i="3" s="1"/>
  <c r="AB79" i="3" s="1"/>
  <c r="N36" i="3"/>
  <c r="P38" i="3"/>
  <c r="O55" i="3"/>
  <c r="O76" i="3" s="1"/>
  <c r="AA76" i="3" s="1"/>
  <c r="Q60" i="3"/>
  <c r="Q81" i="3" s="1"/>
  <c r="AC81" i="3" s="1"/>
  <c r="O58" i="3"/>
  <c r="O79" i="3" s="1"/>
  <c r="AA79" i="3" s="1"/>
  <c r="O38" i="3"/>
  <c r="N38" i="3"/>
  <c r="K36" i="3"/>
  <c r="O40" i="3"/>
  <c r="M38" i="3"/>
  <c r="N60" i="3"/>
  <c r="N81" i="3" s="1"/>
  <c r="Z81" i="3" s="1"/>
  <c r="L58" i="3"/>
  <c r="L79" i="3" s="1"/>
  <c r="X79" i="3" s="1"/>
  <c r="N40" i="3"/>
  <c r="L38" i="3"/>
  <c r="M60" i="3"/>
  <c r="M81" i="3" s="1"/>
  <c r="Y81" i="3" s="1"/>
  <c r="K58" i="3"/>
  <c r="K79" i="3" s="1"/>
  <c r="W79" i="3" s="1"/>
</calcChain>
</file>

<file path=xl/sharedStrings.xml><?xml version="1.0" encoding="utf-8"?>
<sst xmlns="http://schemas.openxmlformats.org/spreadsheetml/2006/main" count="786" uniqueCount="249">
  <si>
    <t>mp-971758</t>
  </si>
  <si>
    <t>mp-429</t>
  </si>
  <si>
    <t>mp-1103252</t>
  </si>
  <si>
    <t>mp-1187913</t>
  </si>
  <si>
    <t>mp-1652</t>
  </si>
  <si>
    <t>mp-1215714</t>
  </si>
  <si>
    <t>mp-30856</t>
  </si>
  <si>
    <t>mp-894</t>
  </si>
  <si>
    <t>mp-1380</t>
    <phoneticPr fontId="1" type="noConversion"/>
  </si>
  <si>
    <r>
      <t>Ni</t>
    </r>
    <r>
      <rPr>
        <vertAlign val="sub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Zn</t>
    </r>
  </si>
  <si>
    <t>NiZn</t>
  </si>
  <si>
    <r>
      <t>Pd</t>
    </r>
    <r>
      <rPr>
        <vertAlign val="sub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Zn</t>
    </r>
  </si>
  <si>
    <r>
      <t>Pd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Times New Roman"/>
        <family val="1"/>
      </rPr>
      <t>Zn</t>
    </r>
  </si>
  <si>
    <t>PdZn</t>
  </si>
  <si>
    <r>
      <t>PdZn</t>
    </r>
    <r>
      <rPr>
        <vertAlign val="subscript"/>
        <sz val="10.5"/>
        <color theme="1"/>
        <rFont val="Times New Roman"/>
        <family val="1"/>
      </rPr>
      <t>2</t>
    </r>
  </si>
  <si>
    <r>
      <t>Pt</t>
    </r>
    <r>
      <rPr>
        <vertAlign val="sub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Zn</t>
    </r>
  </si>
  <si>
    <t>PtZn</t>
  </si>
  <si>
    <r>
      <t>RuZn</t>
    </r>
    <r>
      <rPr>
        <vertAlign val="subscript"/>
        <sz val="10.5"/>
        <color theme="1"/>
        <rFont val="Times New Roman"/>
        <family val="1"/>
      </rPr>
      <t>3</t>
    </r>
  </si>
  <si>
    <t>Formula</t>
  </si>
  <si>
    <t>Formula</t>
    <phoneticPr fontId="1" type="noConversion"/>
  </si>
  <si>
    <t>MP_ID</t>
    <phoneticPr fontId="1" type="noConversion"/>
  </si>
  <si>
    <t>300K</t>
  </si>
  <si>
    <t>400K</t>
  </si>
  <si>
    <t>500K</t>
  </si>
  <si>
    <t>600K</t>
  </si>
  <si>
    <t>700K</t>
  </si>
  <si>
    <t>800K</t>
  </si>
  <si>
    <t>900K</t>
  </si>
  <si>
    <t>1000K</t>
  </si>
  <si>
    <t>T/K</t>
  </si>
  <si>
    <t>G_abs_Ni</t>
  </si>
  <si>
    <t>G_abs_Pd</t>
  </si>
  <si>
    <t>G_abs_Pt</t>
  </si>
  <si>
    <t>G_abs_Ru</t>
  </si>
  <si>
    <t>G_abs_Zn</t>
  </si>
  <si>
    <t>MP_ID</t>
  </si>
  <si>
    <t>Ni3Zn</t>
  </si>
  <si>
    <t>Pd3Zn</t>
  </si>
  <si>
    <t>Pd2Zn</t>
  </si>
  <si>
    <t>PdZn2</t>
  </si>
  <si>
    <t>Pt3Zn</t>
  </si>
  <si>
    <t>RuZn3</t>
  </si>
  <si>
    <t>mp-1380</t>
  </si>
  <si>
    <t>300 K</t>
  </si>
  <si>
    <t>400 K</t>
  </si>
  <si>
    <t>500 K</t>
  </si>
  <si>
    <t>600 K</t>
  </si>
  <si>
    <t>700 K</t>
  </si>
  <si>
    <t>800 K</t>
  </si>
  <si>
    <t>900 K</t>
  </si>
  <si>
    <t>1000 K</t>
  </si>
  <si>
    <t>Rb</t>
    <phoneticPr fontId="1" type="noConversion"/>
  </si>
  <si>
    <t>Ca</t>
    <phoneticPr fontId="1" type="noConversion"/>
  </si>
  <si>
    <t>Co</t>
    <phoneticPr fontId="1" type="noConversion"/>
  </si>
  <si>
    <t>Al</t>
    <phoneticPr fontId="1" type="noConversion"/>
  </si>
  <si>
    <t>m-reduced atomic mass bewteen different atoms(amu)</t>
  </si>
  <si>
    <t>T-temperature(K)</t>
  </si>
  <si>
    <t>Physical descriptor for the Gibbs energy of  inorganic crystalline solids and temperaturedependent materials chemistry</t>
  </si>
  <si>
    <t>m1</t>
  </si>
  <si>
    <t>m2</t>
  </si>
  <si>
    <t>reduced m</t>
  </si>
  <si>
    <t>mp-1187913</t>
    <phoneticPr fontId="1" type="noConversion"/>
  </si>
  <si>
    <r>
      <t>Pd</t>
    </r>
    <r>
      <rPr>
        <vertAlign val="subscript"/>
        <sz val="10.5"/>
        <color theme="1"/>
        <rFont val="Times New Roman"/>
        <family val="1"/>
      </rPr>
      <t>2</t>
    </r>
    <r>
      <rPr>
        <sz val="10.5"/>
        <color theme="1"/>
        <rFont val="Times New Roman"/>
        <family val="1"/>
      </rPr>
      <t>Zn</t>
    </r>
    <phoneticPr fontId="1" type="noConversion"/>
  </si>
  <si>
    <r>
      <t>Pd</t>
    </r>
    <r>
      <rPr>
        <vertAlign val="sub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Zn</t>
    </r>
    <phoneticPr fontId="1" type="noConversion"/>
  </si>
  <si>
    <t>Pd3Zn10</t>
  </si>
  <si>
    <t>Pd3Zn10</t>
    <phoneticPr fontId="1" type="noConversion"/>
  </si>
  <si>
    <t>mp-1215779</t>
    <phoneticPr fontId="1" type="noConversion"/>
  </si>
  <si>
    <t>N in primitive cell</t>
  </si>
  <si>
    <t>mp-971758</t>
    <phoneticPr fontId="1" type="noConversion"/>
  </si>
  <si>
    <t>mp-1103252</t>
    <phoneticPr fontId="1" type="noConversion"/>
  </si>
  <si>
    <t>mp-1215714</t>
    <phoneticPr fontId="1" type="noConversion"/>
  </si>
  <si>
    <t>mp-id</t>
  </si>
  <si>
    <t>G_(300K)</t>
  </si>
  <si>
    <t>G_(400K)</t>
  </si>
  <si>
    <t>G_(500K)</t>
  </si>
  <si>
    <t>G_(600K)</t>
  </si>
  <si>
    <t>G_(700K)</t>
  </si>
  <si>
    <t>G_(800K)</t>
  </si>
  <si>
    <t>G_(900K)</t>
  </si>
  <si>
    <t>G_(1000K)</t>
  </si>
  <si>
    <t>Pd3Zn</t>
    <phoneticPr fontId="1" type="noConversion"/>
  </si>
  <si>
    <t>Pd2Zn</t>
    <phoneticPr fontId="1" type="noConversion"/>
  </si>
  <si>
    <t>Adaptive Learning Framework in Prediction and Validation of Gibbs Free Energy for Inorganic Crystalline Solids</t>
    <phoneticPr fontId="1" type="noConversion"/>
  </si>
  <si>
    <t>formation energy eV/atom</t>
    <phoneticPr fontId="1" type="noConversion"/>
  </si>
  <si>
    <t>kJ/mol</t>
    <phoneticPr fontId="1" type="noConversion"/>
  </si>
  <si>
    <r>
      <t>G=Gδ+</t>
    </r>
    <r>
      <rPr>
        <sz val="11"/>
        <color theme="1"/>
        <rFont val="Times New Roman"/>
        <family val="1"/>
      </rPr>
      <t>∆</t>
    </r>
    <r>
      <rPr>
        <sz val="11"/>
        <color theme="1"/>
        <rFont val="等线"/>
        <family val="3"/>
        <charset val="134"/>
      </rPr>
      <t>Hf</t>
    </r>
    <phoneticPr fontId="1" type="noConversion"/>
  </si>
  <si>
    <t>V per atom</t>
    <phoneticPr fontId="1" type="noConversion"/>
  </si>
  <si>
    <t>reduced m=</t>
    <phoneticPr fontId="1" type="noConversion"/>
  </si>
  <si>
    <t>m1*m2/(m1+m2)</t>
    <phoneticPr fontId="1" type="noConversion"/>
  </si>
  <si>
    <t>GHSER_(300K)</t>
    <phoneticPr fontId="1" type="noConversion"/>
  </si>
  <si>
    <t>GHSER_(400K)</t>
    <phoneticPr fontId="1" type="noConversion"/>
  </si>
  <si>
    <t>GHSER_(500K)</t>
  </si>
  <si>
    <t>GHSER_(600K)</t>
  </si>
  <si>
    <t>GHSER_(700K)</t>
  </si>
  <si>
    <t>GHSER_(800K)</t>
  </si>
  <si>
    <t>GHSER_(900K)</t>
  </si>
  <si>
    <t>GHSER_(1000K)</t>
  </si>
  <si>
    <r>
      <rPr>
        <sz val="11"/>
        <color theme="1"/>
        <rFont val="Times New Roman"/>
        <family val="1"/>
      </rPr>
      <t>∆</t>
    </r>
    <r>
      <rPr>
        <sz val="11"/>
        <color theme="1"/>
        <rFont val="等线"/>
        <family val="2"/>
        <charset val="129"/>
        <scheme val="minor"/>
      </rPr>
      <t>Gf_(300K)</t>
    </r>
    <phoneticPr fontId="1" type="noConversion"/>
  </si>
  <si>
    <r>
      <rPr>
        <sz val="11"/>
        <color theme="1"/>
        <rFont val="Times New Roman"/>
        <family val="1"/>
      </rPr>
      <t>∆</t>
    </r>
    <r>
      <rPr>
        <sz val="11"/>
        <color theme="1"/>
        <rFont val="等线"/>
        <family val="2"/>
        <charset val="129"/>
        <scheme val="minor"/>
      </rPr>
      <t>Gf_(400K)</t>
    </r>
    <phoneticPr fontId="1" type="noConversion"/>
  </si>
  <si>
    <r>
      <rPr>
        <sz val="11"/>
        <color theme="1"/>
        <rFont val="Times New Roman"/>
        <family val="1"/>
      </rPr>
      <t>∆</t>
    </r>
    <r>
      <rPr>
        <sz val="11"/>
        <color theme="1"/>
        <rFont val="等线"/>
        <family val="2"/>
        <charset val="129"/>
        <scheme val="minor"/>
      </rPr>
      <t>Gf_(500K)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</si>
  <si>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Times New Roman"/>
        <family val="1"/>
      </rPr>
      <t>∆</t>
    </r>
    <r>
      <rPr>
        <sz val="11"/>
        <color theme="1"/>
        <rFont val="等线"/>
        <family val="2"/>
        <charset val="129"/>
        <scheme val="minor"/>
      </rPr>
      <t>Gf_(600K)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</si>
  <si>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Times New Roman"/>
        <family val="1"/>
      </rPr>
      <t>∆</t>
    </r>
    <r>
      <rPr>
        <sz val="11"/>
        <color theme="1"/>
        <rFont val="等线"/>
        <family val="2"/>
        <charset val="129"/>
        <scheme val="minor"/>
      </rPr>
      <t>Gf_(700K)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</si>
  <si>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Times New Roman"/>
        <family val="1"/>
      </rPr>
      <t>∆</t>
    </r>
    <r>
      <rPr>
        <sz val="11"/>
        <color theme="1"/>
        <rFont val="等线"/>
        <family val="2"/>
        <charset val="129"/>
        <scheme val="minor"/>
      </rPr>
      <t>Gf_(800K)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</si>
  <si>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Times New Roman"/>
        <family val="1"/>
      </rPr>
      <t>∆</t>
    </r>
    <r>
      <rPr>
        <sz val="11"/>
        <color theme="1"/>
        <rFont val="等线"/>
        <family val="2"/>
        <charset val="129"/>
        <scheme val="minor"/>
      </rPr>
      <t>Gf_(900K)</t>
    </r>
    <r>
      <rPr>
        <sz val="11"/>
        <color theme="1"/>
        <rFont val="等线"/>
        <family val="2"/>
        <scheme val="minor"/>
      </rPr>
      <t/>
    </r>
  </si>
  <si>
    <r>
      <rPr>
        <sz val="11"/>
        <color theme="1"/>
        <rFont val="Times New Roman"/>
        <family val="1"/>
      </rPr>
      <t>∆</t>
    </r>
    <r>
      <rPr>
        <sz val="11"/>
        <color theme="1"/>
        <rFont val="等线"/>
        <family val="2"/>
        <charset val="129"/>
        <scheme val="minor"/>
      </rPr>
      <t>Gf_(1000K)</t>
    </r>
    <r>
      <rPr>
        <sz val="11"/>
        <color theme="1"/>
        <rFont val="等线"/>
        <family val="2"/>
        <scheme val="minor"/>
      </rPr>
      <t/>
    </r>
  </si>
  <si>
    <t>note:calculated by pycalphad program</t>
    <phoneticPr fontId="1" type="noConversion"/>
  </si>
  <si>
    <t>G eV/atom</t>
    <phoneticPr fontId="1" type="noConversion"/>
  </si>
  <si>
    <t>G J/mol</t>
    <phoneticPr fontId="1" type="noConversion"/>
  </si>
  <si>
    <t>mp-1078224</t>
  </si>
  <si>
    <t>mp-1078231</t>
  </si>
  <si>
    <t>mp-10924</t>
  </si>
  <si>
    <t>mp-11078</t>
  </si>
  <si>
    <t>mp-11115</t>
  </si>
  <si>
    <t>mp-1213919</t>
  </si>
  <si>
    <t>mp-607230</t>
  </si>
  <si>
    <t>mp-8580</t>
  </si>
  <si>
    <t>mp-865125</t>
  </si>
  <si>
    <t>mp-977438</t>
  </si>
  <si>
    <t>mp-1215779</t>
  </si>
  <si>
    <t>CeAl4Si2Rh</t>
  </si>
  <si>
    <t>Sr(GaRh)2</t>
  </si>
  <si>
    <t>Mg(Co3P2)2</t>
  </si>
  <si>
    <t>RbCuPdSe5</t>
  </si>
  <si>
    <t>CeMgIn3Rh</t>
  </si>
  <si>
    <t>Ca3Ga3Rh2</t>
  </si>
  <si>
    <t>Ca(PRh)2</t>
  </si>
  <si>
    <t>T</t>
  </si>
  <si>
    <t>[K]</t>
  </si>
  <si>
    <t>G Ba(s)(T,P*)</t>
  </si>
  <si>
    <t>G In(s)(T,P*)</t>
  </si>
  <si>
    <t>G Rh(s)(T,P*)</t>
  </si>
  <si>
    <t>G Mg(s)(T,P*)</t>
  </si>
  <si>
    <t>G Ga(s)(T,P*)</t>
  </si>
  <si>
    <t>G MgInRh2(s)(T,P*)</t>
    <phoneticPr fontId="1" type="noConversion"/>
  </si>
  <si>
    <t>G BaIn2Rh(s)(T,P*)</t>
  </si>
  <si>
    <t>G MgGaRh2(s)(T,P*)</t>
  </si>
  <si>
    <t>MgGaRh2</t>
    <phoneticPr fontId="1" type="noConversion"/>
  </si>
  <si>
    <t>MgInRh2</t>
    <phoneticPr fontId="1" type="noConversion"/>
  </si>
  <si>
    <t>BaIn2Rh</t>
    <phoneticPr fontId="1" type="noConversion"/>
  </si>
  <si>
    <t>J/mol-atom</t>
    <phoneticPr fontId="1" type="noConversion"/>
  </si>
  <si>
    <t>kJ/8mol Ba-4</t>
  </si>
  <si>
    <t>kJ/8mol In-2</t>
  </si>
  <si>
    <t>kJ/8mol Rh-4</t>
  </si>
  <si>
    <t>kJ/8mol Mg-2</t>
  </si>
  <si>
    <t>kJ/8mol Ga-8</t>
  </si>
  <si>
    <t>kJ/8mol BaIn2Rh-8</t>
  </si>
  <si>
    <t>kJ/8mol MgGaRh2-4</t>
  </si>
  <si>
    <t>kJ/8mol MgInRh2-4</t>
  </si>
  <si>
    <t>kJ/8mol BaIn2Rh-8</t>
    <phoneticPr fontId="1" type="noConversion"/>
  </si>
  <si>
    <t>0 K基准</t>
    <phoneticPr fontId="1" type="noConversion"/>
  </si>
  <si>
    <t>Ba</t>
  </si>
  <si>
    <t>In</t>
  </si>
  <si>
    <t>Rh</t>
  </si>
  <si>
    <t>Mg</t>
  </si>
  <si>
    <t>Ga</t>
  </si>
  <si>
    <t>T</t>
    <phoneticPr fontId="1" type="noConversion"/>
  </si>
  <si>
    <t>T=0 K</t>
    <phoneticPr fontId="1" type="noConversion"/>
  </si>
  <si>
    <t>H298-H0/J/mol</t>
    <phoneticPr fontId="1" type="noConversion"/>
  </si>
  <si>
    <t>kJ/mol-formula</t>
    <phoneticPr fontId="1" type="noConversion"/>
  </si>
  <si>
    <t>BaIn2Rh</t>
  </si>
  <si>
    <t>MgGaRh2</t>
  </si>
  <si>
    <t>MgInRh2</t>
  </si>
  <si>
    <t>mp-11078</t>
    <phoneticPr fontId="1" type="noConversion"/>
  </si>
  <si>
    <t>m0</t>
    <phoneticPr fontId="1" type="noConversion"/>
  </si>
  <si>
    <t>mp-865125</t>
    <phoneticPr fontId="1" type="noConversion"/>
  </si>
  <si>
    <t>mp-977438</t>
    <phoneticPr fontId="1" type="noConversion"/>
  </si>
  <si>
    <t>G Ca(PRh)2(s)(T,P*)</t>
    <phoneticPr fontId="1" type="noConversion"/>
  </si>
  <si>
    <t>G CeAl4Si2Rh(s)(T,P*)</t>
    <phoneticPr fontId="1" type="noConversion"/>
  </si>
  <si>
    <t>kJ/8mol CeAl4Si2Rh-8</t>
    <phoneticPr fontId="1" type="noConversion"/>
  </si>
  <si>
    <t>kJ/8mol Ca(PRh)2-5</t>
    <phoneticPr fontId="1" type="noConversion"/>
  </si>
  <si>
    <t>P</t>
    <phoneticPr fontId="1" type="noConversion"/>
  </si>
  <si>
    <t>Si</t>
    <phoneticPr fontId="1" type="noConversion"/>
  </si>
  <si>
    <t>Ce</t>
    <phoneticPr fontId="1" type="noConversion"/>
  </si>
  <si>
    <t>CeAl4Si2Rh</t>
    <phoneticPr fontId="1" type="noConversion"/>
  </si>
  <si>
    <t>ICSD without H</t>
    <phoneticPr fontId="1" type="noConversion"/>
  </si>
  <si>
    <t>BaCu3GaS4</t>
    <phoneticPr fontId="1" type="noConversion"/>
  </si>
  <si>
    <t>kJ/ 2mol NiSb2</t>
  </si>
  <si>
    <t>kJ/ 4mol Ga3Rh</t>
  </si>
  <si>
    <t>kJ/ 2mol Cu2Sb</t>
  </si>
  <si>
    <t>kJ/ 4mol CoSb3</t>
  </si>
  <si>
    <t>kJ/ 4mol CaRhMg2</t>
  </si>
  <si>
    <t>kJ/ 2mol BaCu3InS4</t>
  </si>
  <si>
    <t>kJ/ 2mol BaCu3GaS4</t>
  </si>
  <si>
    <t>kJ/ mol Rb2Ba3Cu2Sb2S10</t>
  </si>
  <si>
    <t>G BaIn2Rh(s)(T,P*)</t>
    <phoneticPr fontId="1" type="noConversion"/>
  </si>
  <si>
    <t>NiSb2</t>
  </si>
  <si>
    <t>Ga3Rh</t>
  </si>
  <si>
    <t>Cu2Sb</t>
  </si>
  <si>
    <t>CoSb3</t>
  </si>
  <si>
    <t>CaRhMg2</t>
  </si>
  <si>
    <t>BaCu3InS4</t>
  </si>
  <si>
    <t>BaCu3GaS4</t>
  </si>
  <si>
    <t>Rb2Ba3Cu2Sb2S10</t>
  </si>
  <si>
    <t>ID</t>
  </si>
  <si>
    <t>ID</t>
    <phoneticPr fontId="1" type="noConversion"/>
  </si>
  <si>
    <t>G_DFT J/mol-atom</t>
    <phoneticPr fontId="1" type="noConversion"/>
  </si>
  <si>
    <t>G_abs_Sb</t>
    <phoneticPr fontId="1" type="noConversion"/>
  </si>
  <si>
    <t>G_abs_Ga</t>
    <phoneticPr fontId="1" type="noConversion"/>
  </si>
  <si>
    <t>G_abs_Rh</t>
    <phoneticPr fontId="1" type="noConversion"/>
  </si>
  <si>
    <t>G_abs_Cu</t>
    <phoneticPr fontId="1" type="noConversion"/>
  </si>
  <si>
    <t>G_abs_Co</t>
    <phoneticPr fontId="1" type="noConversion"/>
  </si>
  <si>
    <t>G_abs_Mg</t>
    <phoneticPr fontId="1" type="noConversion"/>
  </si>
  <si>
    <t>G_abs_Ca</t>
    <phoneticPr fontId="1" type="noConversion"/>
  </si>
  <si>
    <t>G_abs_Ba</t>
    <phoneticPr fontId="1" type="noConversion"/>
  </si>
  <si>
    <t>G_abs_In</t>
    <phoneticPr fontId="1" type="noConversion"/>
  </si>
  <si>
    <t>G_abs_S</t>
    <phoneticPr fontId="1" type="noConversion"/>
  </si>
  <si>
    <t>G_abs_Rb</t>
    <phoneticPr fontId="1" type="noConversion"/>
  </si>
  <si>
    <t>S</t>
    <phoneticPr fontId="1" type="noConversion"/>
  </si>
  <si>
    <t>Cu</t>
    <phoneticPr fontId="1" type="noConversion"/>
  </si>
  <si>
    <t>Sb</t>
    <phoneticPr fontId="1" type="noConversion"/>
  </si>
  <si>
    <t>Cu2Sb</t>
    <phoneticPr fontId="1" type="noConversion"/>
  </si>
  <si>
    <t>NiSb2</t>
    <phoneticPr fontId="1" type="noConversion"/>
  </si>
  <si>
    <t>AL predicted results-Yoon</t>
    <phoneticPr fontId="1" type="noConversion"/>
  </si>
  <si>
    <t>download from attached files of literature</t>
    <phoneticPr fontId="1" type="noConversion"/>
  </si>
  <si>
    <t>unit: J/mol</t>
    <phoneticPr fontId="1" type="noConversion"/>
  </si>
  <si>
    <t>Comparison1</t>
    <phoneticPr fontId="1" type="noConversion"/>
  </si>
  <si>
    <r>
      <t xml:space="preserve">Note: </t>
    </r>
    <r>
      <rPr>
        <b/>
        <sz val="11"/>
        <color theme="1"/>
        <rFont val="等线"/>
        <family val="3"/>
        <charset val="134"/>
        <scheme val="minor"/>
      </rPr>
      <t>Total G</t>
    </r>
    <r>
      <rPr>
        <sz val="11"/>
        <color theme="1"/>
        <rFont val="等线"/>
        <family val="2"/>
        <scheme val="minor"/>
      </rPr>
      <t xml:space="preserve"> take HSER as reference</t>
    </r>
    <phoneticPr fontId="1" type="noConversion"/>
  </si>
  <si>
    <t>Comparison2</t>
    <phoneticPr fontId="1" type="noConversion"/>
  </si>
  <si>
    <t>SISSO-learned descriptors ML model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</si>
  <si>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literature result:</t>
    </r>
    <r>
      <rPr>
        <sz val="11"/>
        <color theme="1"/>
        <rFont val="等线"/>
        <family val="2"/>
        <scheme val="minor"/>
      </rPr>
      <t xml:space="preserve"> Gδ_sisso(eV/atom)=(-2.48*10^4*ln(V)-8.94*10^(-5)*m*V^(-1))*T+0.181*ln(T)-0.882</t>
    </r>
    <phoneticPr fontId="1" type="noConversion"/>
  </si>
  <si>
    <t>m3=</t>
    <phoneticPr fontId="1" type="noConversion"/>
  </si>
  <si>
    <t>GHSER calculations</t>
    <phoneticPr fontId="1" type="noConversion"/>
  </si>
  <si>
    <r>
      <t>V-calculated atomic volume from MP(A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/atom)</t>
    </r>
    <phoneticPr fontId="1" type="noConversion"/>
  </si>
  <si>
    <t>∆Gf J/mol</t>
    <phoneticPr fontId="1" type="noConversion"/>
  </si>
  <si>
    <t>G_abs J/mol</t>
    <phoneticPr fontId="1" type="noConversion"/>
  </si>
  <si>
    <t>DFT calculation results</t>
    <phoneticPr fontId="1" type="noConversion"/>
  </si>
  <si>
    <t>Total Gibbs energy calculated via DFT(J/mol-atom)</t>
    <phoneticPr fontId="1" type="noConversion"/>
  </si>
  <si>
    <r>
      <rPr>
        <sz val="10.5"/>
        <color theme="1"/>
        <rFont val="Times New Roman"/>
        <family val="3"/>
      </rPr>
      <t>Formation Gibbs energy calculated via DFT</t>
    </r>
    <r>
      <rPr>
        <sz val="10.5"/>
        <color theme="1"/>
        <rFont val="Times New Roman"/>
        <family val="1"/>
      </rPr>
      <t>(J/mol-atom)</t>
    </r>
    <phoneticPr fontId="1" type="noConversion"/>
  </si>
  <si>
    <t>C+PLMF_100D&amp;MP Total Gibbs energy predicted via ML(J/mol-atom)</t>
    <phoneticPr fontId="1" type="noConversion"/>
  </si>
  <si>
    <r>
      <t>C+PLMF_100D&amp;MP Formation Gibbs energy predicted via ML</t>
    </r>
    <r>
      <rPr>
        <b/>
        <sz val="10.5"/>
        <color theme="1"/>
        <rFont val="Times New Roman"/>
        <family val="1"/>
      </rPr>
      <t>(J/mol-atom)</t>
    </r>
    <phoneticPr fontId="1" type="noConversion"/>
  </si>
  <si>
    <r>
      <rPr>
        <b/>
        <sz val="10.5"/>
        <color theme="1"/>
        <rFont val="Times New Roman"/>
        <family val="2"/>
      </rPr>
      <t>C+new_PLMF_100D&amp;MP</t>
    </r>
    <r>
      <rPr>
        <b/>
        <sz val="10.5"/>
        <color theme="1"/>
        <rFont val="等线"/>
        <family val="2"/>
      </rPr>
      <t xml:space="preserve"> </t>
    </r>
    <r>
      <rPr>
        <b/>
        <sz val="10.5"/>
        <color theme="1"/>
        <rFont val="Times New Roman"/>
        <family val="2"/>
      </rPr>
      <t>Formation Gibbs energy predicted via ML(J/mol-atom)</t>
    </r>
    <phoneticPr fontId="1" type="noConversion"/>
  </si>
  <si>
    <t>C+new_PLMF_150D&amp;NN24 Total Gibbs energy predicted via ML(J/mol-atom)</t>
    <phoneticPr fontId="1" type="noConversion"/>
  </si>
  <si>
    <r>
      <t>C+new_PLMF_150D&amp;NN24 Formation Gibbs energy predicted via ML</t>
    </r>
    <r>
      <rPr>
        <b/>
        <sz val="10.5"/>
        <color theme="1"/>
        <rFont val="Times New Roman"/>
        <family val="2"/>
        <charset val="134"/>
      </rPr>
      <t>(J/mol-atom)</t>
    </r>
    <phoneticPr fontId="1" type="noConversion"/>
  </si>
  <si>
    <t xml:space="preserve"> C+PLMF_100D&amp;EE Formation Gibbs energy predicted via ML(J/mol-atom)</t>
    <phoneticPr fontId="1" type="noConversion"/>
  </si>
  <si>
    <t xml:space="preserve"> C+PLMF_100D&amp;EE Total Gibbs energy predicted via ML(J/mol-atom)</t>
    <phoneticPr fontId="1" type="noConversion"/>
  </si>
  <si>
    <t>Total Gibbs energy of multi-component IMCs via DFT</t>
    <phoneticPr fontId="1" type="noConversion"/>
  </si>
  <si>
    <t>Total energy calculated via DFT</t>
    <phoneticPr fontId="1" type="noConversion"/>
  </si>
  <si>
    <t>GHSER J/mol</t>
    <phoneticPr fontId="1" type="noConversion"/>
  </si>
  <si>
    <t>G_abs(J/mol)=GHSER+HSER=GHSER+H298-H0+H0</t>
    <phoneticPr fontId="1" type="noConversion"/>
  </si>
  <si>
    <t>Total Gibbs energy of structures from ICSD without H</t>
    <phoneticPr fontId="1" type="noConversion"/>
  </si>
  <si>
    <t>ICSD_ID</t>
    <phoneticPr fontId="1" type="noConversion"/>
  </si>
  <si>
    <t>Total Gibbs energy of pure metals(ref: HSER)</t>
  </si>
  <si>
    <t>Total Gibbs energy of pure metals(ref: HSER)</t>
    <phoneticPr fontId="1" type="noConversion"/>
  </si>
  <si>
    <t>Total Gibbs energy of pure metals(ref: HSER)(unit: J/mol-atom)</t>
    <phoneticPr fontId="1" type="noConversion"/>
  </si>
  <si>
    <t>C+new_PLMF_150D&amp;NN9 Total Gibbs energy of structures from ICSD predicted via ML(unit: J/mol-atom)</t>
    <phoneticPr fontId="1" type="noConversion"/>
  </si>
  <si>
    <t>C+new_PLMF_150D&amp;NN9 Formation Gibbs energy of structures from ICSD predicted via ML(unit: J/mol-atom)</t>
    <phoneticPr fontId="1" type="noConversion"/>
  </si>
  <si>
    <t>Total Gibbs energy of structures from ICSD predicted via DFT(unit: J/mol-atom)</t>
    <phoneticPr fontId="1" type="noConversion"/>
  </si>
  <si>
    <t>Ga3Rh</t>
    <phoneticPr fontId="1" type="noConversion"/>
  </si>
  <si>
    <t>CoSb3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</si>
</sst>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00_ "/>
  </numFmts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sz val="10.5"/>
      <color theme="1"/>
      <name val="Times New Roman"/>
      <family val="3"/>
      <charset val="134"/>
    </font>
    <font>
      <sz val="10.5"/>
      <color theme="1"/>
      <name val="Times New Roman"/>
      <family val="3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29"/>
      <scheme val="minor"/>
    </font>
    <font>
      <sz val="11"/>
      <color theme="1"/>
      <name val="Times New Roman"/>
      <family val="1"/>
    </font>
    <font>
      <sz val="11"/>
      <color theme="1"/>
      <name val="等线"/>
      <family val="1"/>
      <charset val="129"/>
      <scheme val="minor"/>
    </font>
    <font>
      <b/>
      <sz val="14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b/>
      <sz val="10.5"/>
      <color theme="1"/>
      <name val="Times New Roman"/>
      <family val="3"/>
    </font>
    <font>
      <b/>
      <sz val="10.5"/>
      <color theme="1"/>
      <name val="Times New Roman"/>
      <family val="1"/>
    </font>
    <font>
      <b/>
      <sz val="10.5"/>
      <color theme="1"/>
      <name val="Times New Roman"/>
      <family val="3"/>
      <charset val="134"/>
    </font>
    <font>
      <b/>
      <sz val="10.5"/>
      <color theme="1"/>
      <name val="Times New Roman"/>
      <family val="2"/>
      <charset val="134"/>
    </font>
    <font>
      <b/>
      <sz val="10.5"/>
      <color theme="1"/>
      <name val="Times New Roman"/>
      <family val="2"/>
    </font>
    <font>
      <b/>
      <sz val="10.5"/>
      <color theme="1"/>
      <name val="等线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8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0" fillId="0" borderId="0" xfId="0" applyNumberFormat="1"/>
    <xf numFmtId="0" fontId="8" fillId="0" borderId="0" xfId="0" applyFont="1"/>
    <xf numFmtId="177" fontId="0" fillId="0" borderId="0" xfId="0" applyNumberFormat="1"/>
    <xf numFmtId="0" fontId="9" fillId="0" borderId="0" xfId="1">
      <alignment vertical="center"/>
    </xf>
    <xf numFmtId="176" fontId="0" fillId="0" borderId="6" xfId="0" applyNumberFormat="1" applyBorder="1"/>
    <xf numFmtId="0" fontId="0" fillId="0" borderId="6" xfId="0" applyBorder="1"/>
    <xf numFmtId="0" fontId="9" fillId="0" borderId="6" xfId="1" applyBorder="1">
      <alignment vertical="center"/>
    </xf>
    <xf numFmtId="0" fontId="0" fillId="0" borderId="6" xfId="0" applyBorder="1" applyAlignment="1">
      <alignment vertical="center"/>
    </xf>
    <xf numFmtId="177" fontId="0" fillId="0" borderId="6" xfId="0" applyNumberFormat="1" applyBorder="1"/>
    <xf numFmtId="0" fontId="0" fillId="2" borderId="6" xfId="0" applyFill="1" applyBorder="1"/>
    <xf numFmtId="176" fontId="0" fillId="2" borderId="6" xfId="0" applyNumberFormat="1" applyFill="1" applyBorder="1"/>
    <xf numFmtId="0" fontId="9" fillId="2" borderId="6" xfId="1" applyFill="1" applyBorder="1">
      <alignment vertical="center"/>
    </xf>
    <xf numFmtId="0" fontId="11" fillId="2" borderId="6" xfId="1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76" fontId="8" fillId="0" borderId="10" xfId="0" applyNumberFormat="1" applyFont="1" applyBorder="1"/>
    <xf numFmtId="0" fontId="0" fillId="0" borderId="9" xfId="0" applyBorder="1"/>
    <xf numFmtId="0" fontId="0" fillId="0" borderId="11" xfId="0" applyBorder="1"/>
    <xf numFmtId="176" fontId="8" fillId="0" borderId="8" xfId="0" applyNumberFormat="1" applyFont="1" applyBorder="1"/>
    <xf numFmtId="0" fontId="0" fillId="0" borderId="12" xfId="0" applyBorder="1"/>
    <xf numFmtId="176" fontId="0" fillId="0" borderId="8" xfId="0" applyNumberFormat="1" applyBorder="1"/>
    <xf numFmtId="0" fontId="9" fillId="0" borderId="12" xfId="1" applyBorder="1">
      <alignment vertical="center"/>
    </xf>
    <xf numFmtId="0" fontId="0" fillId="0" borderId="8" xfId="0" applyBorder="1"/>
    <xf numFmtId="176" fontId="0" fillId="2" borderId="13" xfId="0" applyNumberFormat="1" applyFill="1" applyBorder="1"/>
    <xf numFmtId="0" fontId="11" fillId="2" borderId="14" xfId="1" applyFont="1" applyFill="1" applyBorder="1">
      <alignment vertical="center"/>
    </xf>
    <xf numFmtId="0" fontId="0" fillId="0" borderId="13" xfId="0" applyBorder="1"/>
    <xf numFmtId="0" fontId="9" fillId="0" borderId="14" xfId="1" applyBorder="1">
      <alignment vertical="center"/>
    </xf>
    <xf numFmtId="176" fontId="0" fillId="0" borderId="13" xfId="0" applyNumberFormat="1" applyBorder="1"/>
    <xf numFmtId="0" fontId="11" fillId="0" borderId="7" xfId="1" applyFont="1" applyBorder="1">
      <alignment vertical="center"/>
    </xf>
    <xf numFmtId="0" fontId="0" fillId="0" borderId="5" xfId="0" applyBorder="1"/>
    <xf numFmtId="0" fontId="0" fillId="0" borderId="4" xfId="0" applyBorder="1"/>
    <xf numFmtId="0" fontId="12" fillId="0" borderId="0" xfId="0" applyFont="1"/>
    <xf numFmtId="0" fontId="12" fillId="0" borderId="10" xfId="0" applyFont="1" applyBorder="1"/>
    <xf numFmtId="0" fontId="8" fillId="0" borderId="8" xfId="0" applyFont="1" applyBorder="1"/>
    <xf numFmtId="0" fontId="8" fillId="0" borderId="7" xfId="0" applyFont="1" applyBorder="1"/>
    <xf numFmtId="0" fontId="9" fillId="0" borderId="5" xfId="1" applyBorder="1">
      <alignment vertical="center"/>
    </xf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8" fillId="0" borderId="10" xfId="0" applyFont="1" applyBorder="1"/>
    <xf numFmtId="0" fontId="9" fillId="0" borderId="9" xfId="1" applyBorder="1">
      <alignment vertical="center"/>
    </xf>
    <xf numFmtId="0" fontId="7" fillId="0" borderId="8" xfId="0" applyFont="1" applyBorder="1"/>
    <xf numFmtId="176" fontId="0" fillId="0" borderId="14" xfId="0" applyNumberFormat="1" applyBorder="1"/>
    <xf numFmtId="177" fontId="0" fillId="0" borderId="14" xfId="0" applyNumberFormat="1" applyBorder="1"/>
    <xf numFmtId="0" fontId="0" fillId="0" borderId="13" xfId="0" applyBorder="1" applyAlignment="1">
      <alignment vertical="center"/>
    </xf>
    <xf numFmtId="0" fontId="0" fillId="2" borderId="13" xfId="0" applyFill="1" applyBorder="1"/>
    <xf numFmtId="176" fontId="0" fillId="2" borderId="14" xfId="0" applyNumberFormat="1" applyFill="1" applyBorder="1"/>
    <xf numFmtId="0" fontId="0" fillId="0" borderId="23" xfId="0" applyBorder="1" applyAlignment="1">
      <alignment vertical="center"/>
    </xf>
    <xf numFmtId="0" fontId="0" fillId="0" borderId="24" xfId="0" applyBorder="1"/>
    <xf numFmtId="176" fontId="0" fillId="0" borderId="24" xfId="0" applyNumberFormat="1" applyBorder="1"/>
    <xf numFmtId="176" fontId="0" fillId="0" borderId="25" xfId="0" applyNumberFormat="1" applyBorder="1"/>
    <xf numFmtId="176" fontId="2" fillId="0" borderId="6" xfId="0" applyNumberFormat="1" applyFont="1" applyBorder="1" applyAlignment="1">
      <alignment horizontal="center" vertical="center"/>
    </xf>
    <xf numFmtId="176" fontId="0" fillId="0" borderId="27" xfId="0" applyNumberFormat="1" applyBorder="1"/>
    <xf numFmtId="176" fontId="0" fillId="0" borderId="23" xfId="0" applyNumberFormat="1" applyBorder="1"/>
    <xf numFmtId="176" fontId="2" fillId="4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4" borderId="6" xfId="0" applyFill="1" applyBorder="1"/>
    <xf numFmtId="49" fontId="2" fillId="0" borderId="6" xfId="0" applyNumberFormat="1" applyFont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5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176" fontId="8" fillId="0" borderId="28" xfId="0" applyNumberFormat="1" applyFont="1" applyBorder="1" applyAlignment="1">
      <alignment horizontal="center"/>
    </xf>
    <xf numFmtId="176" fontId="8" fillId="0" borderId="26" xfId="0" applyNumberFormat="1" applyFont="1" applyBorder="1" applyAlignment="1">
      <alignment horizontal="center"/>
    </xf>
    <xf numFmtId="176" fontId="8" fillId="0" borderId="19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2">
    <cellStyle name="常规" xfId="0" builtinId="0"/>
    <cellStyle name="常规 2" xfId="1" xr:uid="{838EF5CA-C531-4586-89CC-62C8754C23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A2EF-E77E-456E-872C-F3A19EEEBFCE}">
  <dimension ref="A1:AC424"/>
  <sheetViews>
    <sheetView tabSelected="1" topLeftCell="A163" zoomScaleNormal="100" workbookViewId="0">
      <selection activeCell="C168" sqref="C168"/>
    </sheetView>
  </sheetViews>
  <sheetFormatPr defaultRowHeight="13.9" x14ac:dyDescent="0.4"/>
  <cols>
    <col min="1" max="1" width="18" customWidth="1"/>
    <col min="2" max="2" width="18.59765625" customWidth="1"/>
    <col min="3" max="3" width="13.9296875" customWidth="1"/>
    <col min="4" max="7" width="10" bestFit="1" customWidth="1"/>
    <col min="8" max="9" width="12.19921875" bestFit="1" customWidth="1"/>
    <col min="10" max="10" width="13.265625" bestFit="1" customWidth="1"/>
    <col min="11" max="12" width="12.1328125" bestFit="1" customWidth="1"/>
    <col min="13" max="13" width="11.73046875" customWidth="1"/>
    <col min="14" max="14" width="12.06640625" customWidth="1"/>
    <col min="15" max="15" width="13.1328125" customWidth="1"/>
    <col min="16" max="16" width="13.265625" bestFit="1" customWidth="1"/>
    <col min="17" max="17" width="13.19921875" bestFit="1" customWidth="1"/>
    <col min="22" max="29" width="10" bestFit="1" customWidth="1"/>
  </cols>
  <sheetData>
    <row r="1" spans="1:29" x14ac:dyDescent="0.4">
      <c r="A1" t="s">
        <v>216</v>
      </c>
    </row>
    <row r="2" spans="1:29" ht="14.25" thickBot="1" x14ac:dyDescent="0.45"/>
    <row r="3" spans="1:29" ht="18" thickBot="1" x14ac:dyDescent="0.55000000000000004">
      <c r="A3" s="37" t="s">
        <v>215</v>
      </c>
      <c r="T3" s="38" t="s">
        <v>221</v>
      </c>
      <c r="U3" s="22"/>
      <c r="V3" s="22"/>
      <c r="W3" s="22"/>
      <c r="X3" s="22"/>
      <c r="Y3" s="22"/>
      <c r="Z3" s="22"/>
      <c r="AA3" s="22"/>
      <c r="AB3" s="22"/>
      <c r="AC3" s="23"/>
    </row>
    <row r="4" spans="1:29" x14ac:dyDescent="0.4">
      <c r="A4" s="21" t="s">
        <v>82</v>
      </c>
      <c r="B4" s="22"/>
      <c r="C4" s="22"/>
      <c r="D4" s="22"/>
      <c r="E4" s="22"/>
      <c r="F4" s="22"/>
      <c r="G4" s="22"/>
      <c r="H4" s="22"/>
      <c r="I4" s="22"/>
      <c r="J4" s="23"/>
      <c r="T4" s="10" t="s">
        <v>19</v>
      </c>
      <c r="U4" s="12" t="s">
        <v>71</v>
      </c>
      <c r="V4" s="12" t="s">
        <v>89</v>
      </c>
      <c r="W4" s="12" t="s">
        <v>90</v>
      </c>
      <c r="X4" s="12" t="s">
        <v>91</v>
      </c>
      <c r="Y4" s="12" t="s">
        <v>92</v>
      </c>
      <c r="Z4" s="12" t="s">
        <v>93</v>
      </c>
      <c r="AA4" s="12" t="s">
        <v>94</v>
      </c>
      <c r="AB4" s="12" t="s">
        <v>95</v>
      </c>
      <c r="AC4" s="12" t="s">
        <v>96</v>
      </c>
    </row>
    <row r="5" spans="1:29" x14ac:dyDescent="0.4">
      <c r="A5" s="24" t="s">
        <v>212</v>
      </c>
      <c r="C5" t="s">
        <v>84</v>
      </c>
      <c r="D5" t="s">
        <v>213</v>
      </c>
      <c r="J5" s="25"/>
      <c r="T5" s="11" t="s">
        <v>10</v>
      </c>
      <c r="U5" s="12" t="s">
        <v>1</v>
      </c>
      <c r="V5" s="11">
        <v>-10278.500227429</v>
      </c>
      <c r="W5" s="11">
        <v>-14410.9533727544</v>
      </c>
      <c r="X5" s="11">
        <v>-19202.697305096</v>
      </c>
      <c r="Y5" s="11">
        <v>-24540.019240753601</v>
      </c>
      <c r="Z5" s="11">
        <v>-30349.069456281999</v>
      </c>
      <c r="AA5" s="11">
        <v>-36578.7849621813</v>
      </c>
      <c r="AB5" s="11">
        <v>-43189.077080936702</v>
      </c>
      <c r="AC5" s="11">
        <v>-50144.705914424303</v>
      </c>
    </row>
    <row r="6" spans="1:29" x14ac:dyDescent="0.4">
      <c r="A6" s="10" t="s">
        <v>19</v>
      </c>
      <c r="B6" s="12" t="s">
        <v>71</v>
      </c>
      <c r="C6" s="12" t="s">
        <v>72</v>
      </c>
      <c r="D6" s="12" t="s">
        <v>73</v>
      </c>
      <c r="E6" s="12" t="s">
        <v>74</v>
      </c>
      <c r="F6" s="12" t="s">
        <v>75</v>
      </c>
      <c r="G6" s="12" t="s">
        <v>76</v>
      </c>
      <c r="H6" s="12" t="s">
        <v>77</v>
      </c>
      <c r="I6" s="12" t="s">
        <v>78</v>
      </c>
      <c r="J6" s="12" t="s">
        <v>79</v>
      </c>
      <c r="T6" s="11" t="s">
        <v>13</v>
      </c>
      <c r="U6" s="12" t="s">
        <v>4</v>
      </c>
      <c r="V6" s="11">
        <v>-11918.1488746011</v>
      </c>
      <c r="W6" s="11">
        <v>-16293.300401553801</v>
      </c>
      <c r="X6" s="11">
        <v>-21330.838596481099</v>
      </c>
      <c r="Y6" s="11">
        <v>-26910.914279507</v>
      </c>
      <c r="Z6" s="11">
        <v>-32954.312835633697</v>
      </c>
      <c r="AA6" s="11">
        <v>-39406.554637325702</v>
      </c>
      <c r="AB6" s="11">
        <v>-46225.871348216198</v>
      </c>
      <c r="AC6" s="11">
        <v>-53376.5867622351</v>
      </c>
    </row>
    <row r="7" spans="1:29" x14ac:dyDescent="0.4">
      <c r="A7" s="11" t="s">
        <v>10</v>
      </c>
      <c r="B7" s="12" t="s">
        <v>1</v>
      </c>
      <c r="C7" s="12">
        <v>-21.785123218129002</v>
      </c>
      <c r="D7" s="12">
        <v>-33.108410893073803</v>
      </c>
      <c r="E7" s="12">
        <v>-58.920738078913899</v>
      </c>
      <c r="F7" s="12">
        <v>-121.254229045394</v>
      </c>
      <c r="G7" s="12">
        <v>-120.917326576436</v>
      </c>
      <c r="H7" s="12">
        <v>-151.29334633878301</v>
      </c>
      <c r="I7" s="12">
        <v>-140.90733741069201</v>
      </c>
      <c r="J7" s="12">
        <v>-157.92667525691701</v>
      </c>
      <c r="T7" s="11" t="s">
        <v>81</v>
      </c>
      <c r="U7" s="12" t="s">
        <v>2</v>
      </c>
      <c r="V7" s="11">
        <v>-11727.816770515799</v>
      </c>
      <c r="W7" s="11">
        <v>-16039.442037955199</v>
      </c>
      <c r="X7" s="11">
        <v>-21013.0946823669</v>
      </c>
      <c r="Y7" s="11">
        <v>-26526.988077838101</v>
      </c>
      <c r="Z7" s="11">
        <v>-32499.761396051399</v>
      </c>
      <c r="AA7" s="11">
        <v>-38875.066737526897</v>
      </c>
      <c r="AB7" s="11">
        <v>-45610.666817454701</v>
      </c>
      <c r="AC7" s="11">
        <v>-52672.184954826997</v>
      </c>
    </row>
    <row r="8" spans="1:29" x14ac:dyDescent="0.4">
      <c r="A8" s="11" t="s">
        <v>13</v>
      </c>
      <c r="B8" s="12" t="s">
        <v>4</v>
      </c>
      <c r="C8" s="12">
        <v>-56.449049280482903</v>
      </c>
      <c r="D8" s="12">
        <v>-60.360754095521202</v>
      </c>
      <c r="E8" s="12">
        <v>-106.904710686838</v>
      </c>
      <c r="F8" s="12">
        <v>-173.21037948289</v>
      </c>
      <c r="G8" s="12">
        <v>-201.39905428066299</v>
      </c>
      <c r="H8" s="12">
        <v>-247.58787144242899</v>
      </c>
      <c r="I8" s="12">
        <v>-255.77344244353199</v>
      </c>
      <c r="J8" s="12">
        <v>-235.60295242034201</v>
      </c>
      <c r="T8" s="11" t="s">
        <v>40</v>
      </c>
      <c r="U8" s="12" t="s">
        <v>6</v>
      </c>
      <c r="V8" s="11">
        <v>-12489.3260983441</v>
      </c>
      <c r="W8" s="11">
        <v>-17059.741128884401</v>
      </c>
      <c r="X8" s="11">
        <v>-22296.916571201102</v>
      </c>
      <c r="Y8" s="11">
        <v>-28078.934250825401</v>
      </c>
      <c r="Z8" s="11">
        <v>-34325.677960614601</v>
      </c>
      <c r="AA8" s="11">
        <v>-40980.854544024201</v>
      </c>
      <c r="AB8" s="11">
        <v>-48001.401011172798</v>
      </c>
      <c r="AC8" s="11">
        <v>-55351.829743167502</v>
      </c>
    </row>
    <row r="9" spans="1:29" x14ac:dyDescent="0.4">
      <c r="A9" s="11" t="s">
        <v>81</v>
      </c>
      <c r="B9" s="12" t="s">
        <v>2</v>
      </c>
      <c r="C9" s="12">
        <v>-106.085658180537</v>
      </c>
      <c r="D9" s="12">
        <v>-142.706489223885</v>
      </c>
      <c r="E9" s="12">
        <v>-253.52291704997899</v>
      </c>
      <c r="F9" s="12">
        <v>-372.71737343223703</v>
      </c>
      <c r="G9" s="12">
        <v>-440.30728008671599</v>
      </c>
      <c r="H9" s="12">
        <v>-496.59013715923697</v>
      </c>
      <c r="I9" s="12">
        <v>-566.52258265376395</v>
      </c>
      <c r="J9" s="12">
        <v>-742.03304377260497</v>
      </c>
      <c r="T9" s="11" t="s">
        <v>16</v>
      </c>
      <c r="U9" s="12" t="s">
        <v>7</v>
      </c>
      <c r="V9" s="11">
        <v>-12489.2657945151</v>
      </c>
      <c r="W9" s="11">
        <v>-17058.119250039501</v>
      </c>
      <c r="X9" s="11">
        <v>-22292.634493741902</v>
      </c>
      <c r="Y9" s="11">
        <v>-28073.520462054799</v>
      </c>
      <c r="Z9" s="11">
        <v>-34323.107691869896</v>
      </c>
      <c r="AA9" s="11">
        <v>-40987.575808256901</v>
      </c>
      <c r="AB9" s="11">
        <v>-48024.762320948801</v>
      </c>
      <c r="AC9" s="11">
        <v>-55397.817223598096</v>
      </c>
    </row>
    <row r="10" spans="1:29" x14ac:dyDescent="0.4">
      <c r="A10" s="11" t="s">
        <v>40</v>
      </c>
      <c r="B10" s="12" t="s">
        <v>6</v>
      </c>
      <c r="C10" s="12">
        <v>-8.4169425312070096</v>
      </c>
      <c r="D10" s="12">
        <v>-34.2697129168698</v>
      </c>
      <c r="E10" s="12">
        <v>-54.094743708787902</v>
      </c>
      <c r="F10" s="12">
        <v>-43.004512419299097</v>
      </c>
      <c r="G10" s="12">
        <v>-74.082802969544701</v>
      </c>
      <c r="H10" s="12">
        <v>-130.16140918891301</v>
      </c>
      <c r="I10" s="12">
        <v>-174.04420621248499</v>
      </c>
      <c r="J10" s="12">
        <v>-231.97029521275201</v>
      </c>
      <c r="T10" s="10" t="s">
        <v>41</v>
      </c>
      <c r="U10" s="12" t="s">
        <v>42</v>
      </c>
      <c r="V10" s="12">
        <v>-11512.971783627299</v>
      </c>
      <c r="W10" s="12">
        <v>-15748.484826945099</v>
      </c>
      <c r="X10" s="12">
        <v>-20640.897530233698</v>
      </c>
      <c r="Y10" s="12">
        <v>-26077.3696652787</v>
      </c>
      <c r="Z10" s="12">
        <v>-31984.636799454202</v>
      </c>
      <c r="AA10" s="11">
        <v>-38312.475741973198</v>
      </c>
      <c r="AB10" s="11">
        <v>-45020.307794741602</v>
      </c>
      <c r="AC10" s="11">
        <v>-52070.342648783801</v>
      </c>
    </row>
    <row r="11" spans="1:29" x14ac:dyDescent="0.4">
      <c r="A11" s="11" t="s">
        <v>16</v>
      </c>
      <c r="B11" s="12" t="s">
        <v>7</v>
      </c>
      <c r="C11" s="12">
        <v>-6.6140648198650398</v>
      </c>
      <c r="D11" s="12">
        <v>21.914486752176</v>
      </c>
      <c r="E11" s="12">
        <v>-13.354701023334901</v>
      </c>
      <c r="F11" s="12">
        <v>-14.696046161642601</v>
      </c>
      <c r="G11" s="12">
        <v>-44.822798405006999</v>
      </c>
      <c r="H11" s="12">
        <v>-93.568139724068402</v>
      </c>
      <c r="I11" s="12">
        <v>-58.7729858345811</v>
      </c>
      <c r="J11" s="12">
        <v>-24.063803612487501</v>
      </c>
      <c r="T11" s="39" t="s">
        <v>105</v>
      </c>
      <c r="AC11" s="25"/>
    </row>
    <row r="12" spans="1:29" x14ac:dyDescent="0.4">
      <c r="A12" s="10" t="s">
        <v>41</v>
      </c>
      <c r="B12" s="12" t="s">
        <v>42</v>
      </c>
      <c r="C12" s="12">
        <v>-41.959732102564303</v>
      </c>
      <c r="D12" s="12">
        <v>-99.574703295695201</v>
      </c>
      <c r="E12" s="12">
        <v>-145.51789720107101</v>
      </c>
      <c r="F12" s="12">
        <v>-214.286507377699</v>
      </c>
      <c r="G12" s="12">
        <v>-363.79037850325898</v>
      </c>
      <c r="H12" s="12">
        <v>-390.39767288450003</v>
      </c>
      <c r="I12" s="12">
        <v>-465.88718990034403</v>
      </c>
      <c r="J12" s="12">
        <v>-517.09647118771898</v>
      </c>
      <c r="T12" s="11" t="s">
        <v>18</v>
      </c>
      <c r="U12" s="10" t="s">
        <v>35</v>
      </c>
      <c r="V12" s="12" t="s">
        <v>89</v>
      </c>
      <c r="W12" s="12" t="s">
        <v>90</v>
      </c>
      <c r="X12" s="12" t="s">
        <v>91</v>
      </c>
      <c r="Y12" s="12" t="s">
        <v>92</v>
      </c>
      <c r="Z12" s="12" t="s">
        <v>93</v>
      </c>
      <c r="AA12" s="12" t="s">
        <v>94</v>
      </c>
      <c r="AB12" s="12" t="s">
        <v>95</v>
      </c>
      <c r="AC12" s="12" t="s">
        <v>96</v>
      </c>
    </row>
    <row r="13" spans="1:29" x14ac:dyDescent="0.4">
      <c r="A13" s="28"/>
      <c r="J13" s="25"/>
      <c r="T13" s="11" t="s">
        <v>36</v>
      </c>
      <c r="U13" s="10" t="s">
        <v>68</v>
      </c>
      <c r="V13" s="11">
        <v>-9173.1777477150408</v>
      </c>
      <c r="W13" s="11">
        <v>-13088.9923129567</v>
      </c>
      <c r="X13" s="11">
        <v>-17662.010788232099</v>
      </c>
      <c r="Y13" s="11">
        <v>-22778.682418873599</v>
      </c>
      <c r="Z13" s="11">
        <v>-28364.620607232599</v>
      </c>
      <c r="AA13" s="11">
        <v>-34367.6682749108</v>
      </c>
      <c r="AB13" s="11">
        <v>-40747.873151154599</v>
      </c>
      <c r="AC13" s="11">
        <v>-47472.162779406797</v>
      </c>
    </row>
    <row r="14" spans="1:29" x14ac:dyDescent="0.4">
      <c r="A14" s="28"/>
      <c r="J14" s="25"/>
      <c r="T14" s="11" t="s">
        <v>10</v>
      </c>
      <c r="U14" s="10" t="s">
        <v>1</v>
      </c>
      <c r="V14" s="11">
        <v>-10278.500227429</v>
      </c>
      <c r="W14" s="11">
        <v>-14410.9533727544</v>
      </c>
      <c r="X14" s="11">
        <v>-19202.697305096</v>
      </c>
      <c r="Y14" s="11">
        <v>-24540.019240753601</v>
      </c>
      <c r="Z14" s="11">
        <v>-30349.069456281999</v>
      </c>
      <c r="AA14" s="11">
        <v>-36578.7849621813</v>
      </c>
      <c r="AB14" s="11">
        <v>-43189.077080936702</v>
      </c>
      <c r="AC14" s="11">
        <v>-50144.705914424303</v>
      </c>
    </row>
    <row r="15" spans="1:29" x14ac:dyDescent="0.4">
      <c r="A15" s="29" t="s">
        <v>19</v>
      </c>
      <c r="B15" s="17" t="s">
        <v>71</v>
      </c>
      <c r="C15" s="18" t="s">
        <v>97</v>
      </c>
      <c r="D15" s="18" t="s">
        <v>98</v>
      </c>
      <c r="E15" s="18" t="s">
        <v>99</v>
      </c>
      <c r="F15" s="18" t="s">
        <v>100</v>
      </c>
      <c r="G15" s="18" t="s">
        <v>101</v>
      </c>
      <c r="H15" s="18" t="s">
        <v>102</v>
      </c>
      <c r="I15" s="18" t="s">
        <v>103</v>
      </c>
      <c r="J15" s="30" t="s">
        <v>104</v>
      </c>
      <c r="T15" s="11" t="s">
        <v>81</v>
      </c>
      <c r="U15" s="10" t="s">
        <v>69</v>
      </c>
      <c r="V15" s="11">
        <v>-11727.816770515799</v>
      </c>
      <c r="W15" s="11">
        <v>-16039.442037955199</v>
      </c>
      <c r="X15" s="11">
        <v>-21013.0946823669</v>
      </c>
      <c r="Y15" s="11">
        <v>-26526.988077838101</v>
      </c>
      <c r="Z15" s="11">
        <v>-32499.761396051399</v>
      </c>
      <c r="AA15" s="11">
        <v>-38875.066737526897</v>
      </c>
      <c r="AB15" s="11">
        <v>-45610.666817454701</v>
      </c>
      <c r="AC15" s="11">
        <v>-52672.184954826997</v>
      </c>
    </row>
    <row r="16" spans="1:29" x14ac:dyDescent="0.4">
      <c r="A16" s="31" t="s">
        <v>10</v>
      </c>
      <c r="B16" s="12" t="s">
        <v>1</v>
      </c>
      <c r="C16" s="12">
        <f t="shared" ref="C16:J21" si="0">C7*1000-V5</f>
        <v>-11506.622990700003</v>
      </c>
      <c r="D16" s="12">
        <f t="shared" si="0"/>
        <v>-18697.4575203194</v>
      </c>
      <c r="E16" s="12">
        <f t="shared" si="0"/>
        <v>-39718.040773817898</v>
      </c>
      <c r="F16" s="12">
        <f t="shared" si="0"/>
        <v>-96714.209804640384</v>
      </c>
      <c r="G16" s="12">
        <f t="shared" si="0"/>
        <v>-90568.257120153998</v>
      </c>
      <c r="H16" s="12">
        <f t="shared" si="0"/>
        <v>-114714.56137660172</v>
      </c>
      <c r="I16" s="12">
        <f t="shared" si="0"/>
        <v>-97718.260329755314</v>
      </c>
      <c r="J16" s="32">
        <f t="shared" si="0"/>
        <v>-107781.96934249272</v>
      </c>
      <c r="T16" s="11" t="s">
        <v>80</v>
      </c>
      <c r="U16" s="10" t="s">
        <v>61</v>
      </c>
      <c r="V16" s="11">
        <v>-12489.3260983441</v>
      </c>
      <c r="W16" s="11">
        <v>-17059.741128884401</v>
      </c>
      <c r="X16" s="11">
        <v>-22296.916571201102</v>
      </c>
      <c r="Y16" s="11">
        <v>-28078.934250825401</v>
      </c>
      <c r="Z16" s="11">
        <v>-34325.677960614601</v>
      </c>
      <c r="AA16" s="11">
        <v>-40980.854544024201</v>
      </c>
      <c r="AB16" s="11">
        <v>-48001.401011172798</v>
      </c>
      <c r="AC16" s="11">
        <v>-55351.829743167502</v>
      </c>
    </row>
    <row r="17" spans="1:29" x14ac:dyDescent="0.4">
      <c r="A17" s="31" t="s">
        <v>13</v>
      </c>
      <c r="B17" s="12" t="s">
        <v>4</v>
      </c>
      <c r="C17" s="12">
        <f t="shared" si="0"/>
        <v>-44530.900405881803</v>
      </c>
      <c r="D17" s="12">
        <f t="shared" si="0"/>
        <v>-44067.4536939674</v>
      </c>
      <c r="E17" s="12">
        <f t="shared" si="0"/>
        <v>-85573.872090356905</v>
      </c>
      <c r="F17" s="12">
        <f t="shared" si="0"/>
        <v>-146299.46520338301</v>
      </c>
      <c r="G17" s="12">
        <f t="shared" si="0"/>
        <v>-168444.7414450293</v>
      </c>
      <c r="H17" s="12">
        <f t="shared" si="0"/>
        <v>-208181.3168051033</v>
      </c>
      <c r="I17" s="12">
        <f t="shared" si="0"/>
        <v>-209547.5710953158</v>
      </c>
      <c r="J17" s="32">
        <f t="shared" si="0"/>
        <v>-182226.36565810692</v>
      </c>
      <c r="T17" s="11" t="s">
        <v>13</v>
      </c>
      <c r="U17" s="10" t="s">
        <v>4</v>
      </c>
      <c r="V17" s="11">
        <v>-11918.1488746011</v>
      </c>
      <c r="W17" s="11">
        <v>-16293.300401553801</v>
      </c>
      <c r="X17" s="11">
        <v>-21330.838596481099</v>
      </c>
      <c r="Y17" s="11">
        <v>-26910.914279507</v>
      </c>
      <c r="Z17" s="11">
        <v>-32954.312835633697</v>
      </c>
      <c r="AA17" s="11">
        <v>-39406.554637325702</v>
      </c>
      <c r="AB17" s="11">
        <v>-46225.871348216198</v>
      </c>
      <c r="AC17" s="11">
        <v>-53376.5867622351</v>
      </c>
    </row>
    <row r="18" spans="1:29" x14ac:dyDescent="0.4">
      <c r="A18" s="31" t="s">
        <v>81</v>
      </c>
      <c r="B18" s="12" t="s">
        <v>2</v>
      </c>
      <c r="C18" s="12">
        <f t="shared" si="0"/>
        <v>-94357.841410021196</v>
      </c>
      <c r="D18" s="12">
        <f t="shared" si="0"/>
        <v>-126667.0471859298</v>
      </c>
      <c r="E18" s="12">
        <f t="shared" si="0"/>
        <v>-232509.82236761207</v>
      </c>
      <c r="F18" s="12">
        <f t="shared" si="0"/>
        <v>-346190.38535439892</v>
      </c>
      <c r="G18" s="12">
        <f t="shared" si="0"/>
        <v>-407807.51869066461</v>
      </c>
      <c r="H18" s="12">
        <f t="shared" si="0"/>
        <v>-457715.07042171009</v>
      </c>
      <c r="I18" s="12">
        <f t="shared" si="0"/>
        <v>-520911.91583630926</v>
      </c>
      <c r="J18" s="32">
        <f t="shared" si="0"/>
        <v>-689360.85881777806</v>
      </c>
      <c r="T18" s="11" t="s">
        <v>39</v>
      </c>
      <c r="U18" s="10" t="s">
        <v>70</v>
      </c>
      <c r="V18" s="11">
        <v>-12108.480978686401</v>
      </c>
      <c r="W18" s="11">
        <v>-16547.158765152399</v>
      </c>
      <c r="X18" s="11">
        <v>-21648.582510595199</v>
      </c>
      <c r="Y18" s="11">
        <v>-27294.840481175899</v>
      </c>
      <c r="Z18" s="11">
        <v>-33408.864275216001</v>
      </c>
      <c r="AA18" s="11">
        <v>-39938.0425371245</v>
      </c>
      <c r="AB18" s="11">
        <v>-46841.075878977797</v>
      </c>
      <c r="AC18" s="11">
        <v>-54080.988569643203</v>
      </c>
    </row>
    <row r="19" spans="1:29" x14ac:dyDescent="0.4">
      <c r="A19" s="31" t="s">
        <v>40</v>
      </c>
      <c r="B19" s="12" t="s">
        <v>6</v>
      </c>
      <c r="C19" s="12">
        <f t="shared" si="0"/>
        <v>4072.3835671370907</v>
      </c>
      <c r="D19" s="12">
        <f t="shared" si="0"/>
        <v>-17209.9717879854</v>
      </c>
      <c r="E19" s="12">
        <f t="shared" si="0"/>
        <v>-31797.827137586799</v>
      </c>
      <c r="F19" s="12">
        <f t="shared" si="0"/>
        <v>-14925.578168473698</v>
      </c>
      <c r="G19" s="12">
        <f t="shared" si="0"/>
        <v>-39757.125008930103</v>
      </c>
      <c r="H19" s="12">
        <f t="shared" si="0"/>
        <v>-89180.554644888805</v>
      </c>
      <c r="I19" s="12">
        <f t="shared" si="0"/>
        <v>-126042.80520131221</v>
      </c>
      <c r="J19" s="32">
        <f t="shared" si="0"/>
        <v>-176618.46546958451</v>
      </c>
      <c r="T19" s="11" t="s">
        <v>40</v>
      </c>
      <c r="U19" s="10" t="s">
        <v>6</v>
      </c>
      <c r="V19" s="11">
        <v>-12489.3260983441</v>
      </c>
      <c r="W19" s="11">
        <v>-17059.741128884401</v>
      </c>
      <c r="X19" s="11">
        <v>-22296.916571201102</v>
      </c>
      <c r="Y19" s="11">
        <v>-28078.934250825401</v>
      </c>
      <c r="Z19" s="11">
        <v>-34325.677960614601</v>
      </c>
      <c r="AA19" s="11">
        <v>-40980.854544024201</v>
      </c>
      <c r="AB19" s="11">
        <v>-48001.401011172798</v>
      </c>
      <c r="AC19" s="11">
        <v>-55351.829743167502</v>
      </c>
    </row>
    <row r="20" spans="1:29" x14ac:dyDescent="0.4">
      <c r="A20" s="31" t="s">
        <v>16</v>
      </c>
      <c r="B20" s="12" t="s">
        <v>7</v>
      </c>
      <c r="C20" s="12">
        <f t="shared" si="0"/>
        <v>5875.2009746500607</v>
      </c>
      <c r="D20" s="12">
        <f t="shared" si="0"/>
        <v>38972.6060022155</v>
      </c>
      <c r="E20" s="12">
        <f t="shared" si="0"/>
        <v>8937.9334704070006</v>
      </c>
      <c r="F20" s="12">
        <f t="shared" si="0"/>
        <v>13377.474300412199</v>
      </c>
      <c r="G20" s="12">
        <f t="shared" si="0"/>
        <v>-10499.690713137104</v>
      </c>
      <c r="H20" s="12">
        <f t="shared" si="0"/>
        <v>-52580.563915811501</v>
      </c>
      <c r="I20" s="12">
        <f t="shared" si="0"/>
        <v>-10748.2235136323</v>
      </c>
      <c r="J20" s="32">
        <f t="shared" si="0"/>
        <v>31334.013611110597</v>
      </c>
      <c r="T20" s="11" t="s">
        <v>16</v>
      </c>
      <c r="U20" s="10" t="s">
        <v>7</v>
      </c>
      <c r="V20" s="11">
        <v>-12489.2657945151</v>
      </c>
      <c r="W20" s="11">
        <v>-17058.119250039501</v>
      </c>
      <c r="X20" s="11">
        <v>-22292.634493741902</v>
      </c>
      <c r="Y20" s="11">
        <v>-28073.520462054799</v>
      </c>
      <c r="Z20" s="11">
        <v>-34323.107691869896</v>
      </c>
      <c r="AA20" s="11">
        <v>-40987.575808256901</v>
      </c>
      <c r="AB20" s="11">
        <v>-48024.762320948801</v>
      </c>
      <c r="AC20" s="11">
        <v>-55397.817223598096</v>
      </c>
    </row>
    <row r="21" spans="1:29" x14ac:dyDescent="0.4">
      <c r="A21" s="33" t="s">
        <v>41</v>
      </c>
      <c r="B21" s="12" t="s">
        <v>42</v>
      </c>
      <c r="C21" s="12">
        <f t="shared" si="0"/>
        <v>-30446.760318937006</v>
      </c>
      <c r="D21" s="12">
        <f t="shared" si="0"/>
        <v>-83826.218468750099</v>
      </c>
      <c r="E21" s="12">
        <f t="shared" si="0"/>
        <v>-124876.99967083731</v>
      </c>
      <c r="F21" s="12">
        <f t="shared" si="0"/>
        <v>-188209.13771242028</v>
      </c>
      <c r="G21" s="12">
        <f t="shared" si="0"/>
        <v>-331805.74170380476</v>
      </c>
      <c r="H21" s="12">
        <f t="shared" si="0"/>
        <v>-352085.1971425268</v>
      </c>
      <c r="I21" s="12">
        <f t="shared" si="0"/>
        <v>-420866.88210560242</v>
      </c>
      <c r="J21" s="32">
        <f t="shared" si="0"/>
        <v>-465026.12853893515</v>
      </c>
      <c r="T21" s="10" t="s">
        <v>41</v>
      </c>
      <c r="U21" s="10" t="s">
        <v>42</v>
      </c>
      <c r="V21" s="11">
        <v>-11512.971783627299</v>
      </c>
      <c r="W21" s="11">
        <v>-15748.484826945099</v>
      </c>
      <c r="X21" s="11">
        <v>-20640.897530233698</v>
      </c>
      <c r="Y21" s="11">
        <v>-26077.3696652787</v>
      </c>
      <c r="Z21" s="11">
        <v>-31984.636799454202</v>
      </c>
      <c r="AA21" s="11">
        <v>-38312.475741973198</v>
      </c>
      <c r="AB21" s="11">
        <v>-45020.307794741602</v>
      </c>
      <c r="AC21" s="11">
        <v>-52070.342648783801</v>
      </c>
    </row>
    <row r="22" spans="1:29" ht="14.25" thickBot="1" x14ac:dyDescent="0.45">
      <c r="A22" s="34" t="s">
        <v>214</v>
      </c>
      <c r="B22" s="35"/>
      <c r="C22" s="35"/>
      <c r="D22" s="35"/>
      <c r="E22" s="35"/>
      <c r="F22" s="35"/>
      <c r="G22" s="35"/>
      <c r="H22" s="35"/>
      <c r="I22" s="35"/>
      <c r="J22" s="36"/>
      <c r="T22" s="11" t="s">
        <v>65</v>
      </c>
      <c r="U22" s="10" t="s">
        <v>66</v>
      </c>
      <c r="V22" s="11">
        <v>-12225.6084273543</v>
      </c>
      <c r="W22" s="11">
        <v>-16703.379296597701</v>
      </c>
      <c r="X22" s="11">
        <v>-21844.117226973201</v>
      </c>
      <c r="Y22" s="11">
        <v>-27531.102759125999</v>
      </c>
      <c r="Z22" s="11">
        <v>-33688.588238035903</v>
      </c>
      <c r="AA22" s="11">
        <v>-40265.112013923797</v>
      </c>
      <c r="AB22" s="11">
        <v>-47219.663282523397</v>
      </c>
      <c r="AC22" s="11">
        <v>-54514.466604971298</v>
      </c>
    </row>
    <row r="23" spans="1:29" x14ac:dyDescent="0.4">
      <c r="T23" s="11" t="s">
        <v>159</v>
      </c>
      <c r="U23" s="10" t="s">
        <v>162</v>
      </c>
      <c r="V23" s="11">
        <v>-14108.5110395294</v>
      </c>
      <c r="W23" s="11">
        <v>-19253.2841387306</v>
      </c>
      <c r="X23" s="11">
        <v>-25170.948920086401</v>
      </c>
      <c r="Y23" s="11">
        <v>-31753.8160270689</v>
      </c>
      <c r="Z23" s="11">
        <v>-38916.1599574434</v>
      </c>
      <c r="AA23" s="11">
        <v>-46591.464899474602</v>
      </c>
      <c r="AB23" s="11">
        <v>-54727.510690451803</v>
      </c>
      <c r="AC23" s="11">
        <v>-63282.5458097749</v>
      </c>
    </row>
    <row r="24" spans="1:29" x14ac:dyDescent="0.4">
      <c r="T24" s="11" t="s">
        <v>160</v>
      </c>
      <c r="U24" s="10" t="s">
        <v>164</v>
      </c>
      <c r="V24" s="11">
        <v>-9578.3879949081202</v>
      </c>
      <c r="W24" s="11">
        <v>-13168.7648210097</v>
      </c>
      <c r="X24" s="11">
        <v>-17419.329037160202</v>
      </c>
      <c r="Y24" s="11">
        <v>-22217.1734448194</v>
      </c>
      <c r="Z24" s="11">
        <v>-27486.407086210998</v>
      </c>
      <c r="AA24" s="11">
        <v>-33173.135272246</v>
      </c>
      <c r="AB24" s="11">
        <v>-39237.497724038301</v>
      </c>
      <c r="AC24" s="11">
        <v>-45649.190025257099</v>
      </c>
    </row>
    <row r="25" spans="1:29" x14ac:dyDescent="0.4">
      <c r="T25" s="12" t="s">
        <v>161</v>
      </c>
      <c r="U25" s="10" t="s">
        <v>165</v>
      </c>
      <c r="V25" s="11">
        <v>-9578.3879949081202</v>
      </c>
      <c r="W25" s="12">
        <v>-13168.7648210097</v>
      </c>
      <c r="X25" s="12">
        <v>-17419.329037160202</v>
      </c>
      <c r="Y25" s="12">
        <v>-22217.1734448194</v>
      </c>
      <c r="Z25" s="12">
        <v>-27486.407086210998</v>
      </c>
      <c r="AA25" s="12">
        <v>-33173.135272246</v>
      </c>
      <c r="AB25" s="11">
        <v>-39237.497724038301</v>
      </c>
      <c r="AC25" s="11">
        <v>-45649.190025257099</v>
      </c>
    </row>
    <row r="26" spans="1:29" ht="18" thickBot="1" x14ac:dyDescent="0.55000000000000004">
      <c r="A26" s="37" t="s">
        <v>217</v>
      </c>
      <c r="T26" s="11" t="s">
        <v>173</v>
      </c>
      <c r="U26" s="11"/>
      <c r="V26" s="12">
        <v>-15151.6079270392</v>
      </c>
      <c r="W26" s="12">
        <v>-20615.582521834898</v>
      </c>
      <c r="X26" s="12">
        <v>-26766.478254916601</v>
      </c>
      <c r="Y26" s="12">
        <v>-33489.892021760599</v>
      </c>
      <c r="Z26" s="12">
        <v>-40709.997499342498</v>
      </c>
      <c r="AA26" s="12">
        <v>-48373.042035579398</v>
      </c>
      <c r="AB26" s="11">
        <v>-56439.075330597603</v>
      </c>
      <c r="AC26" s="11">
        <v>-64877.350506001501</v>
      </c>
    </row>
    <row r="27" spans="1:29" ht="14.25" thickBot="1" x14ac:dyDescent="0.45">
      <c r="A27" s="46" t="s">
        <v>57</v>
      </c>
      <c r="B27" s="22"/>
      <c r="C27" s="22"/>
      <c r="D27" s="22"/>
      <c r="E27" s="22"/>
      <c r="F27" s="22"/>
      <c r="G27" s="22"/>
      <c r="H27" s="22"/>
      <c r="I27" s="22"/>
      <c r="J27" s="47"/>
      <c r="K27" s="47"/>
      <c r="L27" s="47"/>
      <c r="M27" s="22"/>
      <c r="N27" s="22"/>
      <c r="O27" s="22"/>
      <c r="P27" s="22"/>
      <c r="Q27" s="23"/>
      <c r="T27" s="40" t="s">
        <v>105</v>
      </c>
      <c r="U27" s="35"/>
      <c r="V27" s="35"/>
      <c r="W27" s="41"/>
      <c r="X27" s="41"/>
      <c r="Y27" s="41"/>
      <c r="Z27" s="35"/>
      <c r="AA27" s="35"/>
      <c r="AB27" s="35"/>
      <c r="AC27" s="36"/>
    </row>
    <row r="28" spans="1:29" x14ac:dyDescent="0.4">
      <c r="A28" s="39" t="s">
        <v>218</v>
      </c>
      <c r="J28" s="9"/>
      <c r="K28" s="9"/>
      <c r="L28" s="9"/>
      <c r="Q28" s="25"/>
    </row>
    <row r="29" spans="1:29" x14ac:dyDescent="0.4">
      <c r="A29" s="48" t="s">
        <v>219</v>
      </c>
      <c r="H29" t="s">
        <v>85</v>
      </c>
      <c r="Q29" s="25"/>
    </row>
    <row r="30" spans="1:29" ht="16.149999999999999" x14ac:dyDescent="0.4">
      <c r="A30" s="28" t="s">
        <v>222</v>
      </c>
      <c r="P30" s="9"/>
      <c r="Q30" s="27"/>
      <c r="R30" s="9"/>
    </row>
    <row r="31" spans="1:29" x14ac:dyDescent="0.4">
      <c r="A31" s="28" t="s">
        <v>55</v>
      </c>
      <c r="P31" s="9"/>
      <c r="Q31" s="27"/>
      <c r="R31" s="9"/>
    </row>
    <row r="32" spans="1:29" x14ac:dyDescent="0.4">
      <c r="A32" s="28" t="s">
        <v>56</v>
      </c>
      <c r="C32" t="s">
        <v>87</v>
      </c>
      <c r="D32" t="s">
        <v>88</v>
      </c>
      <c r="P32" s="9"/>
      <c r="Q32" s="27"/>
      <c r="R32" s="9"/>
    </row>
    <row r="33" spans="1:18" x14ac:dyDescent="0.4">
      <c r="A33" s="28"/>
      <c r="J33" s="70" t="s">
        <v>106</v>
      </c>
      <c r="K33" s="70"/>
      <c r="L33" s="70"/>
      <c r="M33" s="70"/>
      <c r="N33" s="70"/>
      <c r="O33" s="70"/>
      <c r="P33" s="70"/>
      <c r="Q33" s="71"/>
      <c r="R33" s="9"/>
    </row>
    <row r="34" spans="1:18" x14ac:dyDescent="0.4">
      <c r="A34" s="31" t="s">
        <v>18</v>
      </c>
      <c r="B34" s="10" t="s">
        <v>35</v>
      </c>
      <c r="C34" s="11" t="s">
        <v>67</v>
      </c>
      <c r="D34" s="10" t="s">
        <v>86</v>
      </c>
      <c r="E34" s="10" t="s">
        <v>163</v>
      </c>
      <c r="F34" s="10" t="s">
        <v>58</v>
      </c>
      <c r="G34" s="10" t="s">
        <v>59</v>
      </c>
      <c r="H34" s="10" t="s">
        <v>60</v>
      </c>
      <c r="I34" s="11" t="s">
        <v>83</v>
      </c>
      <c r="J34" s="10">
        <v>300</v>
      </c>
      <c r="K34" s="10">
        <v>400</v>
      </c>
      <c r="L34" s="10">
        <v>500</v>
      </c>
      <c r="M34" s="10">
        <v>600</v>
      </c>
      <c r="N34" s="10">
        <v>700</v>
      </c>
      <c r="O34" s="10">
        <v>800</v>
      </c>
      <c r="P34" s="10">
        <v>900</v>
      </c>
      <c r="Q34" s="49">
        <v>1000</v>
      </c>
    </row>
    <row r="35" spans="1:18" x14ac:dyDescent="0.4">
      <c r="A35" s="31" t="s">
        <v>36</v>
      </c>
      <c r="B35" s="10" t="s">
        <v>68</v>
      </c>
      <c r="C35" s="11">
        <v>4</v>
      </c>
      <c r="D35" s="11">
        <f>44.04/C35</f>
        <v>11.01</v>
      </c>
      <c r="E35" s="11"/>
      <c r="F35" s="10">
        <v>58.693399999999997</v>
      </c>
      <c r="G35" s="10">
        <v>65.38</v>
      </c>
      <c r="H35" s="10">
        <v>30.928260948760972</v>
      </c>
      <c r="I35" s="13">
        <v>-0.113473455</v>
      </c>
      <c r="J35" s="14">
        <f t="shared" ref="J35:Q44" si="1">(-2.48*10^(-4)*LN($D35)-8.94*10^(-5)*$H35*$D35^(-1))*J$34+0.181*LN(J$34)-0.882+$I35</f>
        <v>-0.21690007341477552</v>
      </c>
      <c r="K35" s="14">
        <f t="shared" si="1"/>
        <v>-0.24943336707685254</v>
      </c>
      <c r="L35" s="14">
        <f t="shared" si="1"/>
        <v>-0.29364813306483001</v>
      </c>
      <c r="M35" s="14">
        <f t="shared" si="1"/>
        <v>-0.34525168006097345</v>
      </c>
      <c r="N35" s="14">
        <f t="shared" si="1"/>
        <v>-0.40195415578808918</v>
      </c>
      <c r="O35" s="14">
        <f t="shared" si="1"/>
        <v>-0.46238872249889978</v>
      </c>
      <c r="P35" s="14">
        <f t="shared" si="1"/>
        <v>-0.52567374182094362</v>
      </c>
      <c r="Q35" s="50">
        <f t="shared" si="1"/>
        <v>-0.59120723726272661</v>
      </c>
    </row>
    <row r="36" spans="1:18" x14ac:dyDescent="0.4">
      <c r="A36" s="31" t="s">
        <v>10</v>
      </c>
      <c r="B36" s="10" t="s">
        <v>1</v>
      </c>
      <c r="C36" s="11">
        <v>2</v>
      </c>
      <c r="D36" s="11">
        <f>23.14/C36</f>
        <v>11.57</v>
      </c>
      <c r="E36" s="11"/>
      <c r="F36" s="10">
        <v>58.693399999999997</v>
      </c>
      <c r="G36" s="10">
        <v>65.38</v>
      </c>
      <c r="H36" s="10">
        <v>30.928260948760972</v>
      </c>
      <c r="I36" s="13">
        <v>-0.254970535</v>
      </c>
      <c r="J36" s="14">
        <f t="shared" si="1"/>
        <v>-0.3584417103577433</v>
      </c>
      <c r="K36" s="14">
        <f t="shared" si="1"/>
        <v>-0.39098985633414285</v>
      </c>
      <c r="L36" s="14">
        <f t="shared" si="1"/>
        <v>-0.43521947463644295</v>
      </c>
      <c r="M36" s="14">
        <f t="shared" si="1"/>
        <v>-0.48683787394690892</v>
      </c>
      <c r="N36" s="14">
        <f t="shared" si="1"/>
        <v>-0.54355520198834728</v>
      </c>
      <c r="O36" s="14">
        <f t="shared" si="1"/>
        <v>-0.6040046210134804</v>
      </c>
      <c r="P36" s="14">
        <f t="shared" si="1"/>
        <v>-0.66730449264984681</v>
      </c>
      <c r="Q36" s="50">
        <f t="shared" si="1"/>
        <v>-0.73285284040595244</v>
      </c>
    </row>
    <row r="37" spans="1:18" x14ac:dyDescent="0.4">
      <c r="A37" s="31" t="s">
        <v>81</v>
      </c>
      <c r="B37" s="10" t="s">
        <v>69</v>
      </c>
      <c r="C37" s="11">
        <v>12</v>
      </c>
      <c r="D37" s="11">
        <f>172.98/C37</f>
        <v>14.414999999999999</v>
      </c>
      <c r="E37" s="11"/>
      <c r="F37" s="10">
        <v>106.42</v>
      </c>
      <c r="G37" s="10">
        <v>65.38</v>
      </c>
      <c r="H37" s="10">
        <v>40.49906635622817</v>
      </c>
      <c r="I37" s="13">
        <v>-0.31780114199999998</v>
      </c>
      <c r="J37" s="14">
        <f t="shared" si="1"/>
        <v>-0.4412867727625317</v>
      </c>
      <c r="K37" s="14">
        <f t="shared" si="1"/>
        <v>-0.4805064038738609</v>
      </c>
      <c r="L37" s="14">
        <f t="shared" si="1"/>
        <v>-0.53140750731109043</v>
      </c>
      <c r="M37" s="14">
        <f t="shared" si="1"/>
        <v>-0.58969739175648583</v>
      </c>
      <c r="N37" s="14">
        <f t="shared" si="1"/>
        <v>-0.65308620493285374</v>
      </c>
      <c r="O37" s="14">
        <f t="shared" si="1"/>
        <v>-0.72020710909291641</v>
      </c>
      <c r="P37" s="14">
        <f t="shared" si="1"/>
        <v>-0.79017846586421225</v>
      </c>
      <c r="Q37" s="50">
        <f t="shared" si="1"/>
        <v>-0.86239829875524732</v>
      </c>
    </row>
    <row r="38" spans="1:18" x14ac:dyDescent="0.4">
      <c r="A38" s="31" t="s">
        <v>80</v>
      </c>
      <c r="B38" s="10" t="s">
        <v>61</v>
      </c>
      <c r="C38" s="11">
        <v>4</v>
      </c>
      <c r="D38" s="11">
        <f>58.27/C38</f>
        <v>14.567500000000001</v>
      </c>
      <c r="E38" s="11"/>
      <c r="F38" s="10">
        <v>106.42</v>
      </c>
      <c r="G38" s="10">
        <v>65.38</v>
      </c>
      <c r="H38" s="10">
        <v>40.49906635622817</v>
      </c>
      <c r="I38" s="13">
        <v>-0.462197474</v>
      </c>
      <c r="J38" s="14">
        <f t="shared" si="1"/>
        <v>-0.58567725440948704</v>
      </c>
      <c r="K38" s="14">
        <f t="shared" si="1"/>
        <v>-0.62489493540313445</v>
      </c>
      <c r="L38" s="14">
        <f t="shared" si="1"/>
        <v>-0.67579408872268243</v>
      </c>
      <c r="M38" s="14">
        <f t="shared" si="1"/>
        <v>-0.73408202305039627</v>
      </c>
      <c r="N38" s="14">
        <f t="shared" si="1"/>
        <v>-0.79746888610908251</v>
      </c>
      <c r="O38" s="14">
        <f t="shared" si="1"/>
        <v>-0.8645878401514635</v>
      </c>
      <c r="P38" s="14">
        <f t="shared" si="1"/>
        <v>-0.93455724680507779</v>
      </c>
      <c r="Q38" s="50">
        <f t="shared" si="1"/>
        <v>-1.0067751295784313</v>
      </c>
    </row>
    <row r="39" spans="1:18" x14ac:dyDescent="0.4">
      <c r="A39" s="31" t="s">
        <v>13</v>
      </c>
      <c r="B39" s="10" t="s">
        <v>4</v>
      </c>
      <c r="C39" s="11">
        <v>2</v>
      </c>
      <c r="D39" s="11">
        <f>27.99/C39</f>
        <v>13.994999999999999</v>
      </c>
      <c r="E39" s="11"/>
      <c r="F39" s="10">
        <v>106.42</v>
      </c>
      <c r="G39" s="10">
        <v>65.38</v>
      </c>
      <c r="H39" s="10">
        <v>40.49906635622817</v>
      </c>
      <c r="I39" s="13">
        <v>-0.57628069000000004</v>
      </c>
      <c r="J39" s="14">
        <f t="shared" si="1"/>
        <v>-0.69982770991224785</v>
      </c>
      <c r="K39" s="14">
        <f t="shared" si="1"/>
        <v>-0.73906780407348227</v>
      </c>
      <c r="L39" s="14">
        <f t="shared" si="1"/>
        <v>-0.78998937056061713</v>
      </c>
      <c r="M39" s="14">
        <f t="shared" si="1"/>
        <v>-0.84829971805591797</v>
      </c>
      <c r="N39" s="14">
        <f t="shared" si="1"/>
        <v>-0.9117089942821911</v>
      </c>
      <c r="O39" s="14">
        <f t="shared" si="1"/>
        <v>-0.97885036149215909</v>
      </c>
      <c r="P39" s="14">
        <f t="shared" si="1"/>
        <v>-1.0488421813133604</v>
      </c>
      <c r="Q39" s="50">
        <f t="shared" si="1"/>
        <v>-1.1210824772543007</v>
      </c>
    </row>
    <row r="40" spans="1:18" x14ac:dyDescent="0.4">
      <c r="A40" s="31" t="s">
        <v>39</v>
      </c>
      <c r="B40" s="10" t="s">
        <v>70</v>
      </c>
      <c r="C40" s="11">
        <v>48</v>
      </c>
      <c r="D40" s="11">
        <f>673.98/C40</f>
        <v>14.04125</v>
      </c>
      <c r="E40" s="11"/>
      <c r="F40" s="10">
        <v>106.42</v>
      </c>
      <c r="G40" s="10">
        <v>65.38</v>
      </c>
      <c r="H40" s="10">
        <v>40.49906635622817</v>
      </c>
      <c r="I40" s="13">
        <v>-0.437536906</v>
      </c>
      <c r="J40" s="14">
        <f t="shared" si="1"/>
        <v>-0.56107374932422549</v>
      </c>
      <c r="K40" s="14">
        <f t="shared" si="1"/>
        <v>-0.6003104512894526</v>
      </c>
      <c r="L40" s="14">
        <f t="shared" si="1"/>
        <v>-0.65122862558058014</v>
      </c>
      <c r="M40" s="14">
        <f t="shared" si="1"/>
        <v>-0.70953558087987356</v>
      </c>
      <c r="N40" s="14">
        <f t="shared" si="1"/>
        <v>-0.77294146491013915</v>
      </c>
      <c r="O40" s="14">
        <f t="shared" si="1"/>
        <v>-0.84007943992409984</v>
      </c>
      <c r="P40" s="14">
        <f t="shared" si="1"/>
        <v>-0.9100678675492937</v>
      </c>
      <c r="Q40" s="50">
        <f t="shared" si="1"/>
        <v>-0.98230477129422655</v>
      </c>
    </row>
    <row r="41" spans="1:18" x14ac:dyDescent="0.4">
      <c r="A41" s="31" t="s">
        <v>40</v>
      </c>
      <c r="B41" s="10" t="s">
        <v>6</v>
      </c>
      <c r="C41" s="11">
        <v>4</v>
      </c>
      <c r="D41" s="11">
        <f>59.25/C41</f>
        <v>14.8125</v>
      </c>
      <c r="E41" s="11"/>
      <c r="F41" s="10">
        <v>195.084</v>
      </c>
      <c r="G41" s="10">
        <v>65.38</v>
      </c>
      <c r="H41" s="10">
        <v>48.968732415996065</v>
      </c>
      <c r="I41" s="13">
        <v>-0.312519875</v>
      </c>
      <c r="J41" s="14">
        <f t="shared" si="1"/>
        <v>-0.45134271919461233</v>
      </c>
      <c r="K41" s="14">
        <f t="shared" si="1"/>
        <v>-0.49567475478330147</v>
      </c>
      <c r="L41" s="14">
        <f t="shared" si="1"/>
        <v>-0.55168826269789129</v>
      </c>
      <c r="M41" s="14">
        <f t="shared" si="1"/>
        <v>-0.61509055162064685</v>
      </c>
      <c r="N41" s="14">
        <f t="shared" si="1"/>
        <v>-0.68359176927437482</v>
      </c>
      <c r="O41" s="14">
        <f t="shared" si="1"/>
        <v>-0.75582507791179765</v>
      </c>
      <c r="P41" s="14">
        <f t="shared" si="1"/>
        <v>-0.83090883916045366</v>
      </c>
      <c r="Q41" s="50">
        <f t="shared" si="1"/>
        <v>-0.90824107652884889</v>
      </c>
    </row>
    <row r="42" spans="1:18" x14ac:dyDescent="0.4">
      <c r="A42" s="31" t="s">
        <v>16</v>
      </c>
      <c r="B42" s="10" t="s">
        <v>7</v>
      </c>
      <c r="C42" s="11">
        <v>2</v>
      </c>
      <c r="D42" s="11">
        <f>28.4/C42</f>
        <v>14.2</v>
      </c>
      <c r="E42" s="11"/>
      <c r="F42" s="10">
        <v>195.084</v>
      </c>
      <c r="G42" s="10">
        <v>65.38</v>
      </c>
      <c r="H42" s="10">
        <v>48.968732415996065</v>
      </c>
      <c r="I42" s="13">
        <v>-0.56528363999999998</v>
      </c>
      <c r="J42" s="14">
        <f t="shared" si="1"/>
        <v>-0.70478904547914623</v>
      </c>
      <c r="K42" s="14">
        <f t="shared" si="1"/>
        <v>-0.74934860149601357</v>
      </c>
      <c r="L42" s="14">
        <f t="shared" si="1"/>
        <v>-0.80558962983878124</v>
      </c>
      <c r="M42" s="14">
        <f t="shared" si="1"/>
        <v>-0.86921943918971478</v>
      </c>
      <c r="N42" s="14">
        <f t="shared" si="1"/>
        <v>-0.93794817727162072</v>
      </c>
      <c r="O42" s="14">
        <f t="shared" si="1"/>
        <v>-1.0104090063372215</v>
      </c>
      <c r="P42" s="14">
        <f t="shared" si="1"/>
        <v>-1.0857202880140555</v>
      </c>
      <c r="Q42" s="50">
        <f t="shared" si="1"/>
        <v>-1.1632800458106289</v>
      </c>
    </row>
    <row r="43" spans="1:18" x14ac:dyDescent="0.4">
      <c r="A43" s="33" t="s">
        <v>41</v>
      </c>
      <c r="B43" s="10" t="s">
        <v>42</v>
      </c>
      <c r="C43" s="11">
        <v>16</v>
      </c>
      <c r="D43" s="10">
        <f>216/C43</f>
        <v>13.5</v>
      </c>
      <c r="E43" s="10"/>
      <c r="F43" s="10">
        <v>101.07</v>
      </c>
      <c r="G43" s="10">
        <v>65.38</v>
      </c>
      <c r="H43" s="10">
        <v>39.69934875337939</v>
      </c>
      <c r="I43" s="13">
        <v>-0.15151983299999999</v>
      </c>
      <c r="J43" s="14">
        <f t="shared" si="1"/>
        <v>-0.27364469054100343</v>
      </c>
      <c r="K43" s="14">
        <f t="shared" si="1"/>
        <v>-0.31241073057848984</v>
      </c>
      <c r="L43" s="14">
        <f t="shared" si="1"/>
        <v>-0.36285824294187657</v>
      </c>
      <c r="M43" s="14">
        <f t="shared" si="1"/>
        <v>-0.42069453631342918</v>
      </c>
      <c r="N43" s="14">
        <f t="shared" si="1"/>
        <v>-0.48362975841595429</v>
      </c>
      <c r="O43" s="14">
        <f t="shared" si="1"/>
        <v>-0.55029707150217422</v>
      </c>
      <c r="P43" s="14">
        <f t="shared" si="1"/>
        <v>-0.61981483719962727</v>
      </c>
      <c r="Q43" s="50">
        <f t="shared" si="1"/>
        <v>-0.69158107901681953</v>
      </c>
    </row>
    <row r="44" spans="1:18" x14ac:dyDescent="0.4">
      <c r="A44" s="33" t="s">
        <v>64</v>
      </c>
      <c r="B44" s="10" t="s">
        <v>66</v>
      </c>
      <c r="C44" s="11">
        <v>52</v>
      </c>
      <c r="D44" s="10">
        <v>14.229615384615386</v>
      </c>
      <c r="E44" s="10"/>
      <c r="F44" s="10">
        <v>106.42</v>
      </c>
      <c r="G44" s="10">
        <v>65.38</v>
      </c>
      <c r="H44" s="10">
        <v>40.49906635622817</v>
      </c>
      <c r="I44" s="11">
        <v>-0.33600000000000002</v>
      </c>
      <c r="J44" s="14">
        <f t="shared" si="1"/>
        <v>-0.45950428041853336</v>
      </c>
      <c r="K44" s="14">
        <f t="shared" si="1"/>
        <v>-0.49873012808186296</v>
      </c>
      <c r="L44" s="14">
        <f t="shared" si="1"/>
        <v>-0.54963744807109305</v>
      </c>
      <c r="M44" s="14">
        <f t="shared" si="1"/>
        <v>-0.60793354906848895</v>
      </c>
      <c r="N44" s="14">
        <f t="shared" si="1"/>
        <v>-0.67132857879685726</v>
      </c>
      <c r="O44" s="14">
        <f t="shared" si="1"/>
        <v>-0.73845569950892043</v>
      </c>
      <c r="P44" s="14">
        <f t="shared" si="1"/>
        <v>-0.808433272832217</v>
      </c>
      <c r="Q44" s="50">
        <f t="shared" si="1"/>
        <v>-0.88065932227525257</v>
      </c>
    </row>
    <row r="45" spans="1:18" x14ac:dyDescent="0.4">
      <c r="A45" s="33" t="s">
        <v>138</v>
      </c>
      <c r="B45" s="10" t="s">
        <v>162</v>
      </c>
      <c r="C45" s="11">
        <v>16</v>
      </c>
      <c r="D45" s="10">
        <f>427.39/C45</f>
        <v>26.711874999999999</v>
      </c>
      <c r="E45" s="10">
        <v>137.327</v>
      </c>
      <c r="F45" s="10">
        <v>114.818</v>
      </c>
      <c r="G45" s="10">
        <v>102.90549</v>
      </c>
      <c r="H45" s="10">
        <f>(E45*F45/(E45+F45)+E45*G45/(E45+G45)+F45*G45/(F45+G45))/3</f>
        <v>58.54231356051978</v>
      </c>
      <c r="I45" s="13">
        <v>-0.45800000000000002</v>
      </c>
      <c r="J45" s="14">
        <f t="shared" ref="J45:Q48" si="2">(-2.48*10^(-4)*LN($D45)-8.94*10^(-5)*$H45*$D45^(-1))*J$34+0.181*LN(J$34)-0.882+$I45</f>
        <v>-0.61080670649573987</v>
      </c>
      <c r="K45" s="14">
        <f t="shared" si="2"/>
        <v>-0.65980002951813854</v>
      </c>
      <c r="L45" s="14">
        <f t="shared" si="2"/>
        <v>-0.72047482486643744</v>
      </c>
      <c r="M45" s="14">
        <f t="shared" si="2"/>
        <v>-0.7885384012229022</v>
      </c>
      <c r="N45" s="14">
        <f t="shared" si="2"/>
        <v>-0.86170090631033935</v>
      </c>
      <c r="O45" s="14">
        <f t="shared" si="2"/>
        <v>-0.93859550238147138</v>
      </c>
      <c r="P45" s="14">
        <f t="shared" si="2"/>
        <v>-1.0183405510638366</v>
      </c>
      <c r="Q45" s="50">
        <f t="shared" si="2"/>
        <v>-1.1003340758659412</v>
      </c>
    </row>
    <row r="46" spans="1:18" x14ac:dyDescent="0.4">
      <c r="A46" s="33" t="s">
        <v>136</v>
      </c>
      <c r="B46" s="10" t="s">
        <v>164</v>
      </c>
      <c r="C46" s="11">
        <v>16</v>
      </c>
      <c r="D46" s="10">
        <f>222.14/C46</f>
        <v>13.883749999999999</v>
      </c>
      <c r="E46" s="10">
        <v>24.305</v>
      </c>
      <c r="F46" s="10">
        <v>69.722999999999999</v>
      </c>
      <c r="G46" s="10">
        <v>102.90549</v>
      </c>
      <c r="H46" s="10">
        <f>(E46*F46/(E46+F46)+E46*G46/(E46+G46)+F46*G46/(F46+G46))/3</f>
        <v>26.415426155661681</v>
      </c>
      <c r="I46" s="13">
        <v>-0.68300000000000005</v>
      </c>
      <c r="J46" s="14">
        <f t="shared" si="2"/>
        <v>-0.77936899742462062</v>
      </c>
      <c r="K46" s="14">
        <f t="shared" si="2"/>
        <v>-0.80954975075664592</v>
      </c>
      <c r="L46" s="14">
        <f t="shared" si="2"/>
        <v>-0.85141197641457178</v>
      </c>
      <c r="M46" s="14">
        <f t="shared" si="2"/>
        <v>-0.9006629830806635</v>
      </c>
      <c r="N46" s="14">
        <f t="shared" si="2"/>
        <v>-0.95501291847772751</v>
      </c>
      <c r="O46" s="14">
        <f t="shared" si="2"/>
        <v>-1.0130949448584865</v>
      </c>
      <c r="P46" s="14">
        <f t="shared" si="2"/>
        <v>-1.0740274238504786</v>
      </c>
      <c r="Q46" s="50">
        <f t="shared" si="2"/>
        <v>-1.1372083789622098</v>
      </c>
    </row>
    <row r="47" spans="1:18" x14ac:dyDescent="0.4">
      <c r="A47" s="33" t="s">
        <v>137</v>
      </c>
      <c r="B47" s="10" t="s">
        <v>165</v>
      </c>
      <c r="C47" s="11">
        <v>16</v>
      </c>
      <c r="D47" s="10">
        <f>250.53/C47</f>
        <v>15.658125</v>
      </c>
      <c r="E47" s="10">
        <v>24.305</v>
      </c>
      <c r="F47" s="10">
        <v>114.818</v>
      </c>
      <c r="G47" s="10">
        <v>102.90549</v>
      </c>
      <c r="H47" s="10">
        <f t="shared" ref="H47" si="3">(E47*F47/(E47+F47)+E47*G47/(E47+G47)+F47*G47/(F47+G47))/3</f>
        <v>31.329354099612015</v>
      </c>
      <c r="I47" s="13">
        <v>-0.52700000000000002</v>
      </c>
      <c r="J47" s="14">
        <f>(-2.48*10^(-4)*LN($D47)-8.94*10^(-5)*$H47*$D47^(-1))*J$34+0.181*LN(J$34)-0.882+$I47</f>
        <v>-0.63495146982656114</v>
      </c>
      <c r="K47" s="14">
        <f t="shared" si="2"/>
        <v>-0.6689930472925667</v>
      </c>
      <c r="L47" s="14">
        <f t="shared" si="2"/>
        <v>-0.71471609708447259</v>
      </c>
      <c r="M47" s="14">
        <f t="shared" si="2"/>
        <v>-0.76782792788454457</v>
      </c>
      <c r="N47" s="14">
        <f t="shared" si="2"/>
        <v>-0.82603868741558883</v>
      </c>
      <c r="O47" s="14">
        <f t="shared" si="2"/>
        <v>-0.88798153793032786</v>
      </c>
      <c r="P47" s="14">
        <f t="shared" si="2"/>
        <v>-0.95277484105630017</v>
      </c>
      <c r="Q47" s="50">
        <f t="shared" si="2"/>
        <v>-1.0198166203020116</v>
      </c>
    </row>
    <row r="48" spans="1:18" x14ac:dyDescent="0.4">
      <c r="A48" s="51" t="s">
        <v>119</v>
      </c>
      <c r="B48" s="11" t="s">
        <v>108</v>
      </c>
      <c r="C48" s="11">
        <v>8</v>
      </c>
      <c r="D48" s="10">
        <f>142.51/C48</f>
        <v>17.813749999999999</v>
      </c>
      <c r="E48" s="10">
        <v>140.11600000000001</v>
      </c>
      <c r="F48" s="10">
        <v>26.981538400000002</v>
      </c>
      <c r="G48" s="11">
        <v>28.085000000000001</v>
      </c>
      <c r="H48" s="10">
        <f>(E48*F48/(E48+F48)+E48*G48/(E48+G48)+F48*G48/(F48+G48)+E48*G49/(E48+G49)+F48*G49/(F48+G49)+G48*G49/(G48+G49))/3</f>
        <v>54.184175305145367</v>
      </c>
      <c r="I48" s="13">
        <v>-0.61699999999999999</v>
      </c>
      <c r="J48" s="14">
        <f>(-2.48*10^(-4)*LN($D48)-8.94*10^(-5)*$H48*$D48^(-1))*J$34+0.181*LN(J$34)-0.882+$I48</f>
        <v>-0.76246371944207625</v>
      </c>
      <c r="K48" s="14">
        <f t="shared" si="2"/>
        <v>-0.80900938011325352</v>
      </c>
      <c r="L48" s="14">
        <f t="shared" si="2"/>
        <v>-0.86723651311033123</v>
      </c>
      <c r="M48" s="14">
        <f t="shared" si="2"/>
        <v>-0.93285242711557481</v>
      </c>
      <c r="N48" s="14">
        <f t="shared" si="2"/>
        <v>-1.0035672698517908</v>
      </c>
      <c r="O48" s="14">
        <f t="shared" si="2"/>
        <v>-1.0780142035717017</v>
      </c>
      <c r="P48" s="14">
        <f t="shared" si="2"/>
        <v>-1.1553115899028457</v>
      </c>
      <c r="Q48" s="50">
        <f t="shared" si="2"/>
        <v>-1.234857452353729</v>
      </c>
    </row>
    <row r="49" spans="1:17" x14ac:dyDescent="0.4">
      <c r="A49" s="28"/>
      <c r="D49" s="6"/>
      <c r="E49" s="6"/>
      <c r="F49" s="10" t="s">
        <v>220</v>
      </c>
      <c r="G49" s="10">
        <v>102.90549</v>
      </c>
      <c r="I49" s="8"/>
      <c r="J49" s="8"/>
      <c r="K49" s="8"/>
      <c r="L49" s="8"/>
      <c r="M49" s="8"/>
      <c r="N49" s="8"/>
      <c r="O49" s="8"/>
      <c r="P49" s="8"/>
      <c r="Q49" s="25"/>
    </row>
    <row r="50" spans="1:17" x14ac:dyDescent="0.4">
      <c r="A50" s="26"/>
      <c r="B50" s="6"/>
      <c r="D50" s="6"/>
      <c r="E50" s="6"/>
      <c r="F50" s="6"/>
      <c r="G50" s="6"/>
      <c r="I50" s="8"/>
      <c r="J50" s="8"/>
      <c r="K50" s="8"/>
      <c r="L50" s="8"/>
      <c r="M50" s="8"/>
      <c r="N50" s="8"/>
      <c r="O50" s="8"/>
      <c r="P50" s="8"/>
      <c r="Q50" s="25"/>
    </row>
    <row r="51" spans="1:17" x14ac:dyDescent="0.4">
      <c r="A51" s="28"/>
      <c r="Q51" s="25"/>
    </row>
    <row r="52" spans="1:17" x14ac:dyDescent="0.4">
      <c r="A52" s="28"/>
      <c r="J52" s="70" t="s">
        <v>107</v>
      </c>
      <c r="K52" s="70"/>
      <c r="L52" s="70"/>
      <c r="M52" s="70"/>
      <c r="N52" s="70"/>
      <c r="O52" s="70"/>
      <c r="P52" s="70"/>
      <c r="Q52" s="71"/>
    </row>
    <row r="53" spans="1:17" x14ac:dyDescent="0.4">
      <c r="A53" s="31" t="s">
        <v>18</v>
      </c>
      <c r="B53" s="10" t="s">
        <v>35</v>
      </c>
      <c r="C53" s="11" t="s">
        <v>67</v>
      </c>
      <c r="D53" s="10" t="s">
        <v>86</v>
      </c>
      <c r="E53" s="10" t="s">
        <v>163</v>
      </c>
      <c r="F53" s="10" t="s">
        <v>58</v>
      </c>
      <c r="G53" s="10" t="s">
        <v>59</v>
      </c>
      <c r="H53" s="10" t="s">
        <v>60</v>
      </c>
      <c r="I53" s="11" t="s">
        <v>83</v>
      </c>
      <c r="J53" s="10">
        <v>300</v>
      </c>
      <c r="K53" s="10">
        <v>400</v>
      </c>
      <c r="L53" s="10">
        <v>500</v>
      </c>
      <c r="M53" s="10">
        <v>600</v>
      </c>
      <c r="N53" s="10">
        <v>700</v>
      </c>
      <c r="O53" s="10">
        <v>800</v>
      </c>
      <c r="P53" s="10">
        <v>900</v>
      </c>
      <c r="Q53" s="49">
        <v>1000</v>
      </c>
    </row>
    <row r="54" spans="1:17" x14ac:dyDescent="0.4">
      <c r="A54" s="31" t="s">
        <v>36</v>
      </c>
      <c r="B54" s="10" t="s">
        <v>68</v>
      </c>
      <c r="C54" s="11">
        <v>4</v>
      </c>
      <c r="D54" s="11">
        <f>44.04/C54</f>
        <v>11.01</v>
      </c>
      <c r="E54" s="11"/>
      <c r="F54" s="10">
        <v>58.693399999999997</v>
      </c>
      <c r="G54" s="10">
        <v>65.38</v>
      </c>
      <c r="H54" s="10">
        <v>30.928260948760972</v>
      </c>
      <c r="I54" s="13">
        <v>-0.113473455</v>
      </c>
      <c r="J54" s="14">
        <f t="shared" ref="J54:Q63" si="4">((-2.48*10^(-4)*LN($D54)-8.94*10^(-5)*$H54*$D54^(-1))*J$53+0.181*LN(J$53)-0.882+$I54)*96485.3321</f>
        <v>-20927.675615938995</v>
      </c>
      <c r="K54" s="14">
        <f t="shared" si="4"/>
        <v>-24066.661259231325</v>
      </c>
      <c r="L54" s="14">
        <f t="shared" si="4"/>
        <v>-28332.737639305113</v>
      </c>
      <c r="M54" s="14">
        <f t="shared" si="4"/>
        <v>-33311.72300876597</v>
      </c>
      <c r="N54" s="14">
        <f t="shared" si="4"/>
        <v>-38782.680210188919</v>
      </c>
      <c r="O54" s="14">
        <f t="shared" si="4"/>
        <v>-44613.729449601087</v>
      </c>
      <c r="P54" s="14">
        <f t="shared" si="4"/>
        <v>-50719.805555843406</v>
      </c>
      <c r="Q54" s="50">
        <f t="shared" si="4"/>
        <v>-57042.82662721767</v>
      </c>
    </row>
    <row r="55" spans="1:17" x14ac:dyDescent="0.4">
      <c r="A55" s="31" t="s">
        <v>10</v>
      </c>
      <c r="B55" s="10" t="s">
        <v>1</v>
      </c>
      <c r="C55" s="11">
        <v>2</v>
      </c>
      <c r="D55" s="11">
        <f>23.14/C55</f>
        <v>11.57</v>
      </c>
      <c r="E55" s="11"/>
      <c r="F55" s="10">
        <v>58.693399999999997</v>
      </c>
      <c r="G55" s="10">
        <v>65.38</v>
      </c>
      <c r="H55" s="10">
        <v>30.928260948760972</v>
      </c>
      <c r="I55" s="13">
        <v>-0.254970535</v>
      </c>
      <c r="J55" s="14">
        <f t="shared" si="4"/>
        <v>-34584.367462358874</v>
      </c>
      <c r="K55" s="14">
        <f t="shared" si="4"/>
        <v>-37724.786136131064</v>
      </c>
      <c r="L55" s="14">
        <f t="shared" si="4"/>
        <v>-41992.295546684727</v>
      </c>
      <c r="M55" s="14">
        <f t="shared" si="4"/>
        <v>-46972.713946625445</v>
      </c>
      <c r="N55" s="14">
        <f t="shared" si="4"/>
        <v>-52445.104178528265</v>
      </c>
      <c r="O55" s="14">
        <f t="shared" si="4"/>
        <v>-58277.586448420298</v>
      </c>
      <c r="P55" s="14">
        <f t="shared" si="4"/>
        <v>-64385.095585142481</v>
      </c>
      <c r="Q55" s="50">
        <f t="shared" si="4"/>
        <v>-70709.549686996615</v>
      </c>
    </row>
    <row r="56" spans="1:17" x14ac:dyDescent="0.4">
      <c r="A56" s="31" t="s">
        <v>81</v>
      </c>
      <c r="B56" s="10" t="s">
        <v>69</v>
      </c>
      <c r="C56" s="11">
        <v>12</v>
      </c>
      <c r="D56" s="11">
        <f>172.98/C56</f>
        <v>14.414999999999999</v>
      </c>
      <c r="E56" s="11"/>
      <c r="F56" s="10">
        <v>106.42</v>
      </c>
      <c r="G56" s="10">
        <v>65.38</v>
      </c>
      <c r="H56" s="10">
        <v>40.49906635622817</v>
      </c>
      <c r="I56" s="13">
        <v>-0.31780114199999998</v>
      </c>
      <c r="J56" s="14">
        <f t="shared" si="4"/>
        <v>-42577.700821330109</v>
      </c>
      <c r="K56" s="14">
        <f t="shared" si="4"/>
        <v>-46361.819953946193</v>
      </c>
      <c r="L56" s="14">
        <f t="shared" si="4"/>
        <v>-51273.029823343735</v>
      </c>
      <c r="M56" s="14">
        <f t="shared" si="4"/>
        <v>-56897.14868212834</v>
      </c>
      <c r="N56" s="14">
        <f t="shared" si="4"/>
        <v>-63013.239372875054</v>
      </c>
      <c r="O56" s="14">
        <f t="shared" si="4"/>
        <v>-69489.422101610966</v>
      </c>
      <c r="P56" s="14">
        <f t="shared" si="4"/>
        <v>-76240.631697177028</v>
      </c>
      <c r="Q56" s="50">
        <f t="shared" si="4"/>
        <v>-83208.78625787505</v>
      </c>
    </row>
    <row r="57" spans="1:17" x14ac:dyDescent="0.4">
      <c r="A57" s="31" t="s">
        <v>80</v>
      </c>
      <c r="B57" s="10" t="s">
        <v>61</v>
      </c>
      <c r="C57" s="11">
        <v>4</v>
      </c>
      <c r="D57" s="11">
        <f>58.27/C57</f>
        <v>14.567500000000001</v>
      </c>
      <c r="E57" s="11"/>
      <c r="F57" s="10">
        <v>106.42</v>
      </c>
      <c r="G57" s="10">
        <v>65.38</v>
      </c>
      <c r="H57" s="10">
        <v>40.49906635622817</v>
      </c>
      <c r="I57" s="13">
        <v>-0.462197474</v>
      </c>
      <c r="J57" s="14">
        <f t="shared" si="4"/>
        <v>-56509.264395115548</v>
      </c>
      <c r="K57" s="14">
        <f t="shared" si="4"/>
        <v>-60293.195369979476</v>
      </c>
      <c r="L57" s="14">
        <f t="shared" si="4"/>
        <v>-65204.217081624876</v>
      </c>
      <c r="M57" s="14">
        <f t="shared" si="4"/>
        <v>-70828.147782657339</v>
      </c>
      <c r="N57" s="14">
        <f t="shared" si="4"/>
        <v>-76944.050315651897</v>
      </c>
      <c r="O57" s="14">
        <f t="shared" si="4"/>
        <v>-83420.044886635675</v>
      </c>
      <c r="P57" s="14">
        <f t="shared" si="4"/>
        <v>-90171.066324449595</v>
      </c>
      <c r="Q57" s="50">
        <f t="shared" si="4"/>
        <v>-97139.032727395475</v>
      </c>
    </row>
    <row r="58" spans="1:17" x14ac:dyDescent="0.4">
      <c r="A58" s="31" t="s">
        <v>13</v>
      </c>
      <c r="B58" s="10" t="s">
        <v>4</v>
      </c>
      <c r="C58" s="11">
        <v>2</v>
      </c>
      <c r="D58" s="11">
        <f>27.99/C58</f>
        <v>13.994999999999999</v>
      </c>
      <c r="E58" s="11"/>
      <c r="F58" s="10">
        <v>106.42</v>
      </c>
      <c r="G58" s="10">
        <v>65.38</v>
      </c>
      <c r="H58" s="10">
        <v>40.49906635622817</v>
      </c>
      <c r="I58" s="13">
        <v>-0.57628069000000004</v>
      </c>
      <c r="J58" s="14">
        <f t="shared" si="4"/>
        <v>-67523.109003665697</v>
      </c>
      <c r="K58" s="14">
        <f t="shared" si="4"/>
        <v>-71309.202520447667</v>
      </c>
      <c r="L58" s="14">
        <f t="shared" si="4"/>
        <v>-76222.386774011102</v>
      </c>
      <c r="M58" s="14">
        <f t="shared" si="4"/>
        <v>-81848.480016961606</v>
      </c>
      <c r="N58" s="14">
        <f t="shared" si="4"/>
        <v>-87966.545091874214</v>
      </c>
      <c r="O58" s="14">
        <f t="shared" si="4"/>
        <v>-94444.702204776026</v>
      </c>
      <c r="P58" s="14">
        <f t="shared" si="4"/>
        <v>-101197.886184508</v>
      </c>
      <c r="Q58" s="50">
        <f t="shared" si="4"/>
        <v>-108168.0151293719</v>
      </c>
    </row>
    <row r="59" spans="1:17" x14ac:dyDescent="0.4">
      <c r="A59" s="31" t="s">
        <v>39</v>
      </c>
      <c r="B59" s="10" t="s">
        <v>70</v>
      </c>
      <c r="C59" s="11">
        <v>48</v>
      </c>
      <c r="D59" s="11">
        <f>673.98/C59</f>
        <v>14.04125</v>
      </c>
      <c r="E59" s="11"/>
      <c r="F59" s="10">
        <v>106.42</v>
      </c>
      <c r="G59" s="10">
        <v>65.38</v>
      </c>
      <c r="H59" s="10">
        <v>40.49906635622817</v>
      </c>
      <c r="I59" s="13">
        <v>-0.437536906</v>
      </c>
      <c r="J59" s="14">
        <f t="shared" si="4"/>
        <v>-54135.387036140048</v>
      </c>
      <c r="K59" s="14">
        <f t="shared" si="4"/>
        <v>-57921.153255763704</v>
      </c>
      <c r="L59" s="14">
        <f t="shared" si="4"/>
        <v>-62834.010212168832</v>
      </c>
      <c r="M59" s="14">
        <f t="shared" si="4"/>
        <v>-68459.776157961009</v>
      </c>
      <c r="N59" s="14">
        <f t="shared" si="4"/>
        <v>-74577.513935715266</v>
      </c>
      <c r="O59" s="14">
        <f t="shared" si="4"/>
        <v>-81055.343751458771</v>
      </c>
      <c r="P59" s="14">
        <f t="shared" si="4"/>
        <v>-87808.20043403242</v>
      </c>
      <c r="Q59" s="50">
        <f t="shared" si="4"/>
        <v>-94778.002081737999</v>
      </c>
    </row>
    <row r="60" spans="1:17" x14ac:dyDescent="0.4">
      <c r="A60" s="31" t="s">
        <v>40</v>
      </c>
      <c r="B60" s="10" t="s">
        <v>6</v>
      </c>
      <c r="C60" s="11">
        <v>4</v>
      </c>
      <c r="D60" s="11">
        <f>59.25/C60</f>
        <v>14.8125</v>
      </c>
      <c r="E60" s="11"/>
      <c r="F60" s="10">
        <v>195.084</v>
      </c>
      <c r="G60" s="10">
        <v>65.38</v>
      </c>
      <c r="H60" s="10">
        <v>48.968732415996065</v>
      </c>
      <c r="I60" s="13">
        <v>-0.312519875</v>
      </c>
      <c r="J60" s="14">
        <f t="shared" si="4"/>
        <v>-43547.952152409212</v>
      </c>
      <c r="K60" s="14">
        <f t="shared" si="4"/>
        <v>-47825.343328852905</v>
      </c>
      <c r="L60" s="14">
        <f t="shared" si="4"/>
        <v>-53229.825242078085</v>
      </c>
      <c r="M60" s="14">
        <f t="shared" si="4"/>
        <v>-59347.216144690305</v>
      </c>
      <c r="N60" s="14">
        <f t="shared" si="4"/>
        <v>-65956.578879264634</v>
      </c>
      <c r="O60" s="14">
        <f t="shared" si="4"/>
        <v>-72926.033651828169</v>
      </c>
      <c r="P60" s="14">
        <f t="shared" si="4"/>
        <v>-80170.515291221862</v>
      </c>
      <c r="Q60" s="50">
        <f t="shared" si="4"/>
        <v>-87631.941895747499</v>
      </c>
    </row>
    <row r="61" spans="1:17" x14ac:dyDescent="0.4">
      <c r="A61" s="31" t="s">
        <v>16</v>
      </c>
      <c r="B61" s="10" t="s">
        <v>7</v>
      </c>
      <c r="C61" s="11">
        <v>2</v>
      </c>
      <c r="D61" s="11">
        <f>28.4/C61</f>
        <v>14.2</v>
      </c>
      <c r="E61" s="11"/>
      <c r="F61" s="10">
        <v>195.084</v>
      </c>
      <c r="G61" s="10">
        <v>65.38</v>
      </c>
      <c r="H61" s="10">
        <v>48.968732415996065</v>
      </c>
      <c r="I61" s="13">
        <v>-0.56528363999999998</v>
      </c>
      <c r="J61" s="14">
        <f t="shared" si="4"/>
        <v>-68001.805113497423</v>
      </c>
      <c r="K61" s="14">
        <f t="shared" si="4"/>
        <v>-72301.148674013428</v>
      </c>
      <c r="L61" s="14">
        <f t="shared" si="4"/>
        <v>-77727.582971310883</v>
      </c>
      <c r="M61" s="14">
        <f t="shared" si="4"/>
        <v>-83866.926257995379</v>
      </c>
      <c r="N61" s="14">
        <f t="shared" si="4"/>
        <v>-90498.241376641992</v>
      </c>
      <c r="O61" s="14">
        <f t="shared" si="4"/>
        <v>-97489.648533277825</v>
      </c>
      <c r="P61" s="14">
        <f t="shared" si="4"/>
        <v>-104756.0825567438</v>
      </c>
      <c r="Q61" s="50">
        <f t="shared" si="4"/>
        <v>-112239.46154534175</v>
      </c>
    </row>
    <row r="62" spans="1:17" x14ac:dyDescent="0.4">
      <c r="A62" s="33" t="s">
        <v>41</v>
      </c>
      <c r="B62" s="10" t="s">
        <v>42</v>
      </c>
      <c r="C62" s="11">
        <v>16</v>
      </c>
      <c r="D62" s="10">
        <f>216/C62</f>
        <v>13.5</v>
      </c>
      <c r="E62" s="10"/>
      <c r="F62" s="10">
        <v>101.07</v>
      </c>
      <c r="G62" s="10">
        <v>65.38</v>
      </c>
      <c r="H62" s="10">
        <v>39.69934875337939</v>
      </c>
      <c r="I62" s="13">
        <v>-0.15151983299999999</v>
      </c>
      <c r="J62" s="14">
        <f t="shared" si="4"/>
        <v>-26402.698844250444</v>
      </c>
      <c r="K62" s="14">
        <f t="shared" si="4"/>
        <v>-30143.053091469217</v>
      </c>
      <c r="L62" s="14">
        <f t="shared" si="4"/>
        <v>-35010.498075469441</v>
      </c>
      <c r="M62" s="14">
        <f t="shared" si="4"/>
        <v>-40590.852048856723</v>
      </c>
      <c r="N62" s="14">
        <f t="shared" si="4"/>
        <v>-46663.177854206122</v>
      </c>
      <c r="O62" s="14">
        <f t="shared" si="4"/>
        <v>-53095.595697544726</v>
      </c>
      <c r="P62" s="14">
        <f t="shared" si="4"/>
        <v>-59803.040407713474</v>
      </c>
      <c r="Q62" s="50">
        <f t="shared" si="4"/>
        <v>-66727.430083014173</v>
      </c>
    </row>
    <row r="63" spans="1:17" x14ac:dyDescent="0.4">
      <c r="A63" s="33" t="s">
        <v>64</v>
      </c>
      <c r="B63" s="10" t="s">
        <v>66</v>
      </c>
      <c r="C63" s="11">
        <v>52</v>
      </c>
      <c r="D63" s="10">
        <v>14.229615384615386</v>
      </c>
      <c r="E63" s="10"/>
      <c r="F63" s="10">
        <v>106.42</v>
      </c>
      <c r="G63" s="10">
        <v>65.38</v>
      </c>
      <c r="H63" s="10">
        <v>40.49906635622817</v>
      </c>
      <c r="I63" s="11">
        <v>-0.33600000000000002</v>
      </c>
      <c r="J63" s="14">
        <f t="shared" si="4"/>
        <v>-44335.423097553721</v>
      </c>
      <c r="K63" s="14">
        <f t="shared" si="4"/>
        <v>-48120.142036254081</v>
      </c>
      <c r="L63" s="14">
        <f t="shared" si="4"/>
        <v>-53031.951711735914</v>
      </c>
      <c r="M63" s="14">
        <f t="shared" si="4"/>
        <v>-58656.670376604801</v>
      </c>
      <c r="N63" s="14">
        <f t="shared" si="4"/>
        <v>-64773.360873435791</v>
      </c>
      <c r="O63" s="14">
        <f t="shared" si="4"/>
        <v>-71250.143408256001</v>
      </c>
      <c r="P63" s="14">
        <f t="shared" si="4"/>
        <v>-78001.952809906361</v>
      </c>
      <c r="Q63" s="50">
        <f t="shared" si="4"/>
        <v>-84970.707176688666</v>
      </c>
    </row>
    <row r="64" spans="1:17" x14ac:dyDescent="0.4">
      <c r="A64" s="33" t="s">
        <v>138</v>
      </c>
      <c r="B64" s="10" t="s">
        <v>162</v>
      </c>
      <c r="C64" s="11">
        <v>16</v>
      </c>
      <c r="D64" s="10">
        <f>427.39/C64</f>
        <v>26.711874999999999</v>
      </c>
      <c r="E64" s="10">
        <v>137.327</v>
      </c>
      <c r="F64" s="10">
        <v>114.818</v>
      </c>
      <c r="G64" s="10">
        <v>102.90549</v>
      </c>
      <c r="H64" s="10">
        <f>(E64*F64/(E64+F64)+E64*G64/(E64+G64)+F64*G64/(F64+G64))/3</f>
        <v>58.54231356051978</v>
      </c>
      <c r="I64" s="13">
        <v>-0.45800000000000002</v>
      </c>
      <c r="J64" s="14">
        <f t="shared" ref="J64:Q67" si="5">((-2.48*10^(-4)*LN($D64)-8.94*10^(-5)*$H64*$D64^(-1))*J$53+0.181*LN(J$53)-0.882+$I64)*96485.3321</f>
        <v>-58933.887925148687</v>
      </c>
      <c r="K64" s="14">
        <f t="shared" si="5"/>
        <v>-63661.024967647398</v>
      </c>
      <c r="L64" s="14">
        <f t="shared" si="5"/>
        <v>-69515.252746927552</v>
      </c>
      <c r="M64" s="14">
        <f t="shared" si="5"/>
        <v>-76082.389515594768</v>
      </c>
      <c r="N64" s="14">
        <f t="shared" si="5"/>
        <v>-83141.498116224073</v>
      </c>
      <c r="O64" s="14">
        <f t="shared" si="5"/>
        <v>-90560.698754842611</v>
      </c>
      <c r="P64" s="14">
        <f t="shared" si="5"/>
        <v>-98254.926260291279</v>
      </c>
      <c r="Q64" s="50">
        <f>((-2.48*10^(-4)*LN($D64)-8.94*10^(-5)*$H64*$D64^(-1))*Q$53+0.181*LN(Q$53)-0.882+$I64)*96485.3321</f>
        <v>-106166.09873087193</v>
      </c>
    </row>
    <row r="65" spans="1:29" x14ac:dyDescent="0.4">
      <c r="A65" s="33" t="s">
        <v>136</v>
      </c>
      <c r="B65" s="10" t="s">
        <v>164</v>
      </c>
      <c r="C65" s="11">
        <v>16</v>
      </c>
      <c r="D65" s="10">
        <f>222.14/C65</f>
        <v>13.883749999999999</v>
      </c>
      <c r="E65" s="10">
        <v>24.305</v>
      </c>
      <c r="F65" s="10">
        <v>69.722999999999999</v>
      </c>
      <c r="G65" s="10">
        <v>102.90549</v>
      </c>
      <c r="H65" s="10">
        <f>(E65*F65/(E65+F65)+E65*G65/(E65+G65)+F65*G65/(F65+G65))/3</f>
        <v>26.415426155661681</v>
      </c>
      <c r="I65" s="13">
        <v>-0.68300000000000005</v>
      </c>
      <c r="J65" s="14">
        <f t="shared" si="5"/>
        <v>-75197.676544958566</v>
      </c>
      <c r="K65" s="14">
        <f t="shared" si="5"/>
        <v>-78109.676553227211</v>
      </c>
      <c r="L65" s="14">
        <f t="shared" si="5"/>
        <v>-82148.767298277322</v>
      </c>
      <c r="M65" s="14">
        <f t="shared" si="5"/>
        <v>-86900.767032714502</v>
      </c>
      <c r="N65" s="14">
        <f t="shared" si="5"/>
        <v>-92144.738599113771</v>
      </c>
      <c r="O65" s="14">
        <f t="shared" si="5"/>
        <v>-97748.802203502259</v>
      </c>
      <c r="P65" s="14">
        <f t="shared" si="5"/>
        <v>-103627.89267472089</v>
      </c>
      <c r="Q65" s="50">
        <f t="shared" si="5"/>
        <v>-109723.92811107147</v>
      </c>
      <c r="T65" s="58" t="s">
        <v>29</v>
      </c>
      <c r="U65" s="58">
        <v>300</v>
      </c>
      <c r="V65" s="58">
        <v>400</v>
      </c>
      <c r="W65" s="58">
        <v>500</v>
      </c>
      <c r="X65" s="58">
        <v>600</v>
      </c>
      <c r="Y65" s="58">
        <v>700</v>
      </c>
      <c r="Z65" s="58">
        <v>800</v>
      </c>
      <c r="AA65" s="58">
        <v>900</v>
      </c>
      <c r="AB65" s="58">
        <v>1000</v>
      </c>
    </row>
    <row r="66" spans="1:29" x14ac:dyDescent="0.4">
      <c r="A66" s="33" t="s">
        <v>137</v>
      </c>
      <c r="B66" s="10" t="s">
        <v>165</v>
      </c>
      <c r="C66" s="11">
        <v>16</v>
      </c>
      <c r="D66" s="10">
        <f>250.53/C66</f>
        <v>15.658125</v>
      </c>
      <c r="E66" s="10">
        <v>24.305</v>
      </c>
      <c r="F66" s="10">
        <v>114.818</v>
      </c>
      <c r="G66" s="10">
        <v>102.90549</v>
      </c>
      <c r="H66" s="10">
        <f t="shared" ref="H66" si="6">(E66*F66/(E66+F66)+E66*G66/(E66+G66)+F66*G66/(F66+G66))/3</f>
        <v>31.329354099612015</v>
      </c>
      <c r="I66" s="13">
        <v>-0.52700000000000002</v>
      </c>
      <c r="J66" s="14">
        <f>((-2.48*10^(-4)*LN($D66)-8.94*10^(-5)*$H66*$D66^(-1))*J$53+0.181*LN(J$53)-0.882+$I66)*96485.3321</f>
        <v>-61263.503433598882</v>
      </c>
      <c r="K66" s="14">
        <f t="shared" si="5"/>
        <v>-64548.016340614304</v>
      </c>
      <c r="L66" s="14">
        <f t="shared" si="5"/>
        <v>-68959.619984411183</v>
      </c>
      <c r="M66" s="14">
        <f t="shared" si="5"/>
        <v>-74084.13261759514</v>
      </c>
      <c r="N66" s="14">
        <f t="shared" si="5"/>
        <v>-79700.617082741184</v>
      </c>
      <c r="O66" s="14">
        <f t="shared" si="5"/>
        <v>-85677.193585876434</v>
      </c>
      <c r="P66" s="14">
        <f t="shared" si="5"/>
        <v>-91928.796955841841</v>
      </c>
      <c r="Q66" s="50">
        <f t="shared" si="5"/>
        <v>-98397.345290939193</v>
      </c>
      <c r="T66" s="58" t="s">
        <v>30</v>
      </c>
      <c r="U66" s="58">
        <v>-530817.1</v>
      </c>
      <c r="V66" s="58">
        <v>-534516.30000000005</v>
      </c>
      <c r="W66" s="58">
        <v>-538870.5</v>
      </c>
      <c r="X66" s="58">
        <v>-543766.6</v>
      </c>
      <c r="Y66" s="58">
        <v>-549129.4</v>
      </c>
      <c r="Z66" s="58">
        <v>-554905.80000000005</v>
      </c>
      <c r="AA66" s="58">
        <v>-561055.9</v>
      </c>
      <c r="AB66" s="58">
        <v>-567548.80000000005</v>
      </c>
    </row>
    <row r="67" spans="1:29" x14ac:dyDescent="0.4">
      <c r="A67" s="51" t="s">
        <v>119</v>
      </c>
      <c r="B67" s="11" t="s">
        <v>108</v>
      </c>
      <c r="C67" s="11">
        <v>8</v>
      </c>
      <c r="D67" s="10">
        <f>142.51/C67</f>
        <v>17.813749999999999</v>
      </c>
      <c r="E67" s="10">
        <v>140.11600000000001</v>
      </c>
      <c r="F67" s="10">
        <v>26.981538400000002</v>
      </c>
      <c r="G67" s="11">
        <v>28.085000000000001</v>
      </c>
      <c r="H67" s="10">
        <f>(E67*F67/(E67+F67)+E67*G67/(E67+G67)+F67*G67/(F67+G67)+E67*G68/(E67+G68)+F67*G68/(F67+G68)+G67*G68/(G67+G68))/3</f>
        <v>54.184175305145367</v>
      </c>
      <c r="I67" s="13">
        <v>-0.61699999999999999</v>
      </c>
      <c r="J67" s="14">
        <f>((-2.48*10^(-4)*LN($D67)-8.94*10^(-5)*$H67*$D67^(-1))*J$53+0.181*LN(J$53)-0.882+$I67)*96485.3321</f>
        <v>-73566.565184569947</v>
      </c>
      <c r="K67" s="14">
        <f t="shared" si="5"/>
        <v>-78057.5387122424</v>
      </c>
      <c r="L67" s="14">
        <f t="shared" si="5"/>
        <v>-83675.602976696318</v>
      </c>
      <c r="M67" s="14">
        <f t="shared" si="5"/>
        <v>-90006.576230537277</v>
      </c>
      <c r="N67" s="14">
        <f t="shared" si="5"/>
        <v>-96829.521316340353</v>
      </c>
      <c r="O67" s="14">
        <f t="shared" si="5"/>
        <v>-104012.55844013265</v>
      </c>
      <c r="P67" s="14">
        <f t="shared" si="5"/>
        <v>-111470.62243075507</v>
      </c>
      <c r="Q67" s="50">
        <f t="shared" si="5"/>
        <v>-119145.63138650947</v>
      </c>
      <c r="T67" s="58" t="s">
        <v>31</v>
      </c>
      <c r="U67" s="58">
        <v>-509574.9</v>
      </c>
      <c r="V67" s="58">
        <v>-513759.4</v>
      </c>
      <c r="W67" s="58">
        <v>-518605.3</v>
      </c>
      <c r="X67" s="58">
        <v>-523986.9</v>
      </c>
      <c r="Y67" s="58">
        <v>-529818.4</v>
      </c>
      <c r="Z67" s="58">
        <v>-536039.80000000005</v>
      </c>
      <c r="AA67" s="58">
        <v>-542608</v>
      </c>
      <c r="AB67" s="58">
        <v>-549491.1</v>
      </c>
    </row>
    <row r="68" spans="1:29" x14ac:dyDescent="0.4">
      <c r="A68" s="26"/>
      <c r="B68" s="6"/>
      <c r="D68" s="6"/>
      <c r="E68" s="6"/>
      <c r="F68" s="10" t="s">
        <v>220</v>
      </c>
      <c r="G68" s="10">
        <v>102.90549</v>
      </c>
      <c r="I68" s="8"/>
      <c r="J68" s="8"/>
      <c r="K68" s="8"/>
      <c r="L68" s="8"/>
      <c r="M68" s="8"/>
      <c r="N68" s="8"/>
      <c r="O68" s="8"/>
      <c r="P68" s="8"/>
      <c r="Q68" s="25"/>
      <c r="T68" s="58" t="s">
        <v>32</v>
      </c>
      <c r="U68" s="58">
        <v>-593760.5</v>
      </c>
      <c r="V68" s="58">
        <v>-598332.4</v>
      </c>
      <c r="W68" s="58">
        <v>-603572.30000000005</v>
      </c>
      <c r="X68" s="58">
        <v>-609355.4</v>
      </c>
      <c r="Y68" s="58">
        <v>-615599.30000000005</v>
      </c>
      <c r="Z68" s="58">
        <v>-622245.19999999995</v>
      </c>
      <c r="AA68" s="58">
        <v>-629249.1</v>
      </c>
      <c r="AB68" s="58">
        <v>-636576.9</v>
      </c>
    </row>
    <row r="69" spans="1:29" x14ac:dyDescent="0.4">
      <c r="A69" s="26"/>
      <c r="B69" s="6"/>
      <c r="D69" s="6"/>
      <c r="E69" s="6"/>
      <c r="F69" s="6"/>
      <c r="G69" s="6"/>
      <c r="I69" s="8"/>
      <c r="J69" s="8"/>
      <c r="K69" s="8"/>
      <c r="L69" s="8"/>
      <c r="M69" s="8"/>
      <c r="N69" s="8"/>
      <c r="O69" s="8"/>
      <c r="P69" s="8"/>
      <c r="Q69" s="25"/>
      <c r="T69" s="58" t="s">
        <v>33</v>
      </c>
      <c r="U69" s="58">
        <v>-896897</v>
      </c>
      <c r="V69" s="58">
        <v>-900142</v>
      </c>
      <c r="W69" s="58">
        <v>-904024</v>
      </c>
      <c r="X69" s="58">
        <v>-908434</v>
      </c>
      <c r="Y69" s="58">
        <v>-913298</v>
      </c>
      <c r="Z69" s="58">
        <v>-918560</v>
      </c>
      <c r="AA69" s="58">
        <v>-924180</v>
      </c>
      <c r="AB69" s="58">
        <v>-930125</v>
      </c>
    </row>
    <row r="70" spans="1:29" x14ac:dyDescent="0.4">
      <c r="A70" s="26"/>
      <c r="B70" s="6"/>
      <c r="D70" s="6"/>
      <c r="E70" s="6"/>
      <c r="F70" s="6"/>
      <c r="G70" s="6"/>
      <c r="I70" s="8"/>
      <c r="J70" s="8"/>
      <c r="K70" s="8"/>
      <c r="L70" s="8"/>
      <c r="M70" s="8"/>
      <c r="N70" s="8"/>
      <c r="O70" s="8"/>
      <c r="P70" s="8"/>
      <c r="Q70" s="25"/>
      <c r="T70" s="58" t="s">
        <v>34</v>
      </c>
      <c r="U70" s="58">
        <v>-113728.4</v>
      </c>
      <c r="V70" s="58">
        <v>-118294.1</v>
      </c>
      <c r="W70" s="58">
        <v>-123523.3</v>
      </c>
      <c r="X70" s="58">
        <v>-129301.9</v>
      </c>
      <c r="Y70" s="58">
        <v>-135557.20000000001</v>
      </c>
      <c r="Z70" s="58">
        <v>-142240.20000000001</v>
      </c>
      <c r="AA70" s="58">
        <v>-149310.70000000001</v>
      </c>
      <c r="AB70" s="58">
        <v>-156729</v>
      </c>
    </row>
    <row r="71" spans="1:29" x14ac:dyDescent="0.4">
      <c r="A71" s="28"/>
      <c r="Q71" s="25"/>
    </row>
    <row r="72" spans="1:29" x14ac:dyDescent="0.4">
      <c r="A72" s="28"/>
      <c r="Q72" s="25"/>
    </row>
    <row r="73" spans="1:29" x14ac:dyDescent="0.4">
      <c r="A73" s="28"/>
      <c r="J73" s="72" t="s">
        <v>223</v>
      </c>
      <c r="K73" s="72"/>
      <c r="L73" s="72"/>
      <c r="M73" s="72"/>
      <c r="N73" s="72"/>
      <c r="O73" s="72"/>
      <c r="P73" s="72"/>
      <c r="Q73" s="73"/>
      <c r="V73" s="74" t="s">
        <v>224</v>
      </c>
      <c r="W73" s="74"/>
      <c r="X73" s="74"/>
      <c r="Y73" s="74"/>
      <c r="Z73" s="74"/>
      <c r="AA73" s="74"/>
      <c r="AB73" s="74"/>
      <c r="AC73" s="74"/>
    </row>
    <row r="74" spans="1:29" x14ac:dyDescent="0.4">
      <c r="A74" s="52" t="s">
        <v>19</v>
      </c>
      <c r="B74" s="16" t="s">
        <v>35</v>
      </c>
      <c r="C74" s="15" t="s">
        <v>67</v>
      </c>
      <c r="D74" s="16" t="s">
        <v>86</v>
      </c>
      <c r="E74" s="16" t="s">
        <v>163</v>
      </c>
      <c r="F74" s="16" t="s">
        <v>58</v>
      </c>
      <c r="G74" s="16" t="s">
        <v>59</v>
      </c>
      <c r="H74" s="16" t="s">
        <v>60</v>
      </c>
      <c r="I74" s="15" t="s">
        <v>83</v>
      </c>
      <c r="J74" s="16">
        <v>300</v>
      </c>
      <c r="K74" s="16">
        <v>400</v>
      </c>
      <c r="L74" s="16">
        <v>500</v>
      </c>
      <c r="M74" s="16">
        <v>600</v>
      </c>
      <c r="N74" s="16">
        <v>700</v>
      </c>
      <c r="O74" s="16">
        <v>800</v>
      </c>
      <c r="P74" s="16">
        <v>900</v>
      </c>
      <c r="Q74" s="53">
        <v>1000</v>
      </c>
      <c r="T74" s="15" t="s">
        <v>19</v>
      </c>
      <c r="U74" s="16" t="s">
        <v>35</v>
      </c>
      <c r="V74" s="16">
        <v>300</v>
      </c>
      <c r="W74" s="16">
        <v>400</v>
      </c>
      <c r="X74" s="16">
        <v>500</v>
      </c>
      <c r="Y74" s="16">
        <v>600</v>
      </c>
      <c r="Z74" s="16">
        <v>700</v>
      </c>
      <c r="AA74" s="16">
        <v>800</v>
      </c>
      <c r="AB74" s="16">
        <v>900</v>
      </c>
      <c r="AC74" s="16">
        <v>1000</v>
      </c>
    </row>
    <row r="75" spans="1:29" x14ac:dyDescent="0.4">
      <c r="A75" s="31" t="s">
        <v>36</v>
      </c>
      <c r="B75" s="10" t="s">
        <v>68</v>
      </c>
      <c r="C75" s="11">
        <v>4</v>
      </c>
      <c r="D75" s="11">
        <f>44.04/C75</f>
        <v>11.01</v>
      </c>
      <c r="E75" s="11"/>
      <c r="F75" s="10">
        <v>58.693399999999997</v>
      </c>
      <c r="G75" s="10">
        <v>65.38</v>
      </c>
      <c r="H75" s="10">
        <v>30.928260948760972</v>
      </c>
      <c r="I75" s="13">
        <v>-0.113473455</v>
      </c>
      <c r="J75" s="14">
        <f t="shared" ref="J75:J88" si="7">J54-V13</f>
        <v>-11754.497868223954</v>
      </c>
      <c r="K75" s="14">
        <f t="shared" ref="K75:K88" si="8">K54-W13</f>
        <v>-10977.668946274625</v>
      </c>
      <c r="L75" s="14">
        <f t="shared" ref="L75:L88" si="9">L54-X13</f>
        <v>-10670.726851073014</v>
      </c>
      <c r="M75" s="14">
        <f t="shared" ref="M75:M88" si="10">M54-Y13</f>
        <v>-10533.040589892371</v>
      </c>
      <c r="N75" s="14">
        <f t="shared" ref="N75:N88" si="11">N54-Z13</f>
        <v>-10418.05960295632</v>
      </c>
      <c r="O75" s="14">
        <f t="shared" ref="O75:O88" si="12">O54-AA13</f>
        <v>-10246.061174690287</v>
      </c>
      <c r="P75" s="14">
        <f t="shared" ref="P75:P88" si="13">P54-AB13</f>
        <v>-9971.9324046888069</v>
      </c>
      <c r="Q75" s="50">
        <f t="shared" ref="Q75:Q88" si="14">Q54-AC13</f>
        <v>-9570.6638478108725</v>
      </c>
      <c r="T75" s="11" t="s">
        <v>36</v>
      </c>
      <c r="U75" s="10" t="s">
        <v>68</v>
      </c>
      <c r="V75" s="10">
        <f>J75+3/4*U66+1/4*U70</f>
        <v>-438299.42286822386</v>
      </c>
      <c r="W75" s="10">
        <f t="shared" ref="W75:AC75" si="15">K75+3/4*V66+1/4*V70</f>
        <v>-441438.41894627467</v>
      </c>
      <c r="X75" s="10">
        <f t="shared" si="15"/>
        <v>-445704.42685107305</v>
      </c>
      <c r="Y75" s="10">
        <f t="shared" si="15"/>
        <v>-450683.46558989229</v>
      </c>
      <c r="Z75" s="10">
        <f t="shared" si="15"/>
        <v>-456154.40960295638</v>
      </c>
      <c r="AA75" s="10">
        <f t="shared" si="15"/>
        <v>-461985.46117469034</v>
      </c>
      <c r="AB75" s="10">
        <f t="shared" si="15"/>
        <v>-468091.53240468883</v>
      </c>
      <c r="AC75" s="10">
        <f t="shared" si="15"/>
        <v>-474414.51384781091</v>
      </c>
    </row>
    <row r="76" spans="1:29" x14ac:dyDescent="0.4">
      <c r="A76" s="31" t="s">
        <v>10</v>
      </c>
      <c r="B76" s="10" t="s">
        <v>1</v>
      </c>
      <c r="C76" s="11">
        <v>2</v>
      </c>
      <c r="D76" s="11">
        <f>23.14/C76</f>
        <v>11.57</v>
      </c>
      <c r="E76" s="11"/>
      <c r="F76" s="10">
        <v>58.693399999999997</v>
      </c>
      <c r="G76" s="10">
        <v>65.38</v>
      </c>
      <c r="H76" s="10">
        <v>30.928260948760972</v>
      </c>
      <c r="I76" s="13">
        <v>-0.254970535</v>
      </c>
      <c r="J76" s="14">
        <f t="shared" si="7"/>
        <v>-24305.867234929872</v>
      </c>
      <c r="K76" s="14">
        <f t="shared" si="8"/>
        <v>-23313.832763376664</v>
      </c>
      <c r="L76" s="14">
        <f t="shared" si="9"/>
        <v>-22789.598241588727</v>
      </c>
      <c r="M76" s="14">
        <f t="shared" si="10"/>
        <v>-22432.694705871843</v>
      </c>
      <c r="N76" s="14">
        <f t="shared" si="11"/>
        <v>-22096.034722246266</v>
      </c>
      <c r="O76" s="14">
        <f t="shared" si="12"/>
        <v>-21698.801486238997</v>
      </c>
      <c r="P76" s="14">
        <f t="shared" si="13"/>
        <v>-21196.018504205778</v>
      </c>
      <c r="Q76" s="50">
        <f t="shared" si="14"/>
        <v>-20564.843772572312</v>
      </c>
      <c r="T76" s="11" t="s">
        <v>10</v>
      </c>
      <c r="U76" s="10" t="s">
        <v>1</v>
      </c>
      <c r="V76" s="10">
        <f>J76+1/2*U66+1/2*U70</f>
        <v>-346578.61723492987</v>
      </c>
      <c r="W76" s="10">
        <f t="shared" ref="W76:AC76" si="16">K76+1/2*V66+1/2*V70</f>
        <v>-349719.03276337666</v>
      </c>
      <c r="X76" s="10">
        <f t="shared" si="16"/>
        <v>-353986.49824158876</v>
      </c>
      <c r="Y76" s="10">
        <f t="shared" si="16"/>
        <v>-358966.94470587187</v>
      </c>
      <c r="Z76" s="10">
        <f t="shared" si="16"/>
        <v>-364439.33472224628</v>
      </c>
      <c r="AA76" s="10">
        <f t="shared" si="16"/>
        <v>-370271.80148623907</v>
      </c>
      <c r="AB76" s="10">
        <f t="shared" si="16"/>
        <v>-376379.31850420579</v>
      </c>
      <c r="AC76" s="10">
        <f t="shared" si="16"/>
        <v>-382703.74377257231</v>
      </c>
    </row>
    <row r="77" spans="1:29" x14ac:dyDescent="0.4">
      <c r="A77" s="31" t="s">
        <v>81</v>
      </c>
      <c r="B77" s="10" t="s">
        <v>69</v>
      </c>
      <c r="C77" s="11">
        <v>12</v>
      </c>
      <c r="D77" s="11">
        <f>172.98/C77</f>
        <v>14.414999999999999</v>
      </c>
      <c r="E77" s="11"/>
      <c r="F77" s="10">
        <v>106.42</v>
      </c>
      <c r="G77" s="10">
        <v>65.38</v>
      </c>
      <c r="H77" s="10">
        <v>40.49906635622817</v>
      </c>
      <c r="I77" s="13">
        <v>-0.31780114199999998</v>
      </c>
      <c r="J77" s="14">
        <f t="shared" si="7"/>
        <v>-30849.884050814311</v>
      </c>
      <c r="K77" s="14">
        <f t="shared" si="8"/>
        <v>-30322.377915990994</v>
      </c>
      <c r="L77" s="14">
        <f t="shared" si="9"/>
        <v>-30259.935140976835</v>
      </c>
      <c r="M77" s="14">
        <f t="shared" si="10"/>
        <v>-30370.160604290239</v>
      </c>
      <c r="N77" s="14">
        <f t="shared" si="11"/>
        <v>-30513.477976823655</v>
      </c>
      <c r="O77" s="14">
        <f t="shared" si="12"/>
        <v>-30614.355364084069</v>
      </c>
      <c r="P77" s="14">
        <f t="shared" si="13"/>
        <v>-30629.964879722327</v>
      </c>
      <c r="Q77" s="50">
        <f t="shared" si="14"/>
        <v>-30536.601303048054</v>
      </c>
      <c r="T77" s="11" t="s">
        <v>81</v>
      </c>
      <c r="U77" s="10" t="s">
        <v>69</v>
      </c>
      <c r="V77" s="10">
        <f>J77+2/3*U67+1/3*U70</f>
        <v>-408475.95071748097</v>
      </c>
      <c r="W77" s="10">
        <f t="shared" ref="W77:AC77" si="17">K77+2/3*V67+1/3*V70</f>
        <v>-412260.01124932431</v>
      </c>
      <c r="X77" s="10">
        <f t="shared" si="17"/>
        <v>-417171.23514097685</v>
      </c>
      <c r="Y77" s="10">
        <f t="shared" si="17"/>
        <v>-422795.39393762359</v>
      </c>
      <c r="Z77" s="10">
        <f t="shared" si="17"/>
        <v>-428911.47797682363</v>
      </c>
      <c r="AA77" s="10">
        <f t="shared" si="17"/>
        <v>-435387.62203075079</v>
      </c>
      <c r="AB77" s="10">
        <f t="shared" si="17"/>
        <v>-442138.8648797223</v>
      </c>
      <c r="AC77" s="10">
        <f t="shared" si="17"/>
        <v>-449107.00130304799</v>
      </c>
    </row>
    <row r="78" spans="1:29" x14ac:dyDescent="0.4">
      <c r="A78" s="31" t="s">
        <v>80</v>
      </c>
      <c r="B78" s="10" t="s">
        <v>61</v>
      </c>
      <c r="C78" s="11">
        <v>4</v>
      </c>
      <c r="D78" s="11">
        <f>58.27/C78</f>
        <v>14.567500000000001</v>
      </c>
      <c r="E78" s="11"/>
      <c r="F78" s="10">
        <v>106.42</v>
      </c>
      <c r="G78" s="10">
        <v>65.38</v>
      </c>
      <c r="H78" s="10">
        <v>40.49906635622817</v>
      </c>
      <c r="I78" s="13">
        <v>-0.462197474</v>
      </c>
      <c r="J78" s="14">
        <f t="shared" si="7"/>
        <v>-44019.938296771448</v>
      </c>
      <c r="K78" s="14">
        <f t="shared" si="8"/>
        <v>-43233.454241095074</v>
      </c>
      <c r="L78" s="14">
        <f t="shared" si="9"/>
        <v>-42907.300510423775</v>
      </c>
      <c r="M78" s="14">
        <f t="shared" si="10"/>
        <v>-42749.213531831934</v>
      </c>
      <c r="N78" s="14">
        <f t="shared" si="11"/>
        <v>-42618.372355037296</v>
      </c>
      <c r="O78" s="14">
        <f t="shared" si="12"/>
        <v>-42439.190342611473</v>
      </c>
      <c r="P78" s="14">
        <f t="shared" si="13"/>
        <v>-42169.665313276797</v>
      </c>
      <c r="Q78" s="50">
        <f t="shared" si="14"/>
        <v>-41787.202984227974</v>
      </c>
      <c r="T78" s="11" t="s">
        <v>80</v>
      </c>
      <c r="U78" s="10" t="s">
        <v>61</v>
      </c>
      <c r="V78" s="10">
        <f>J78+3/4*U67+1/4*U70</f>
        <v>-454633.21329677146</v>
      </c>
      <c r="W78" s="10">
        <f t="shared" ref="W78:AC78" si="18">K78+3/4*V67+1/4*V70</f>
        <v>-458126.52924109512</v>
      </c>
      <c r="X78" s="10">
        <f t="shared" si="18"/>
        <v>-462742.10051042377</v>
      </c>
      <c r="Y78" s="10">
        <f t="shared" si="18"/>
        <v>-468064.86353183194</v>
      </c>
      <c r="Z78" s="10">
        <f t="shared" si="18"/>
        <v>-473871.47235503735</v>
      </c>
      <c r="AA78" s="10">
        <f t="shared" si="18"/>
        <v>-480029.09034261148</v>
      </c>
      <c r="AB78" s="10">
        <f t="shared" si="18"/>
        <v>-486453.3403132768</v>
      </c>
      <c r="AC78" s="10">
        <f t="shared" si="18"/>
        <v>-493087.77798422793</v>
      </c>
    </row>
    <row r="79" spans="1:29" x14ac:dyDescent="0.4">
      <c r="A79" s="31" t="s">
        <v>13</v>
      </c>
      <c r="B79" s="10" t="s">
        <v>4</v>
      </c>
      <c r="C79" s="11">
        <v>2</v>
      </c>
      <c r="D79" s="11">
        <f>27.99/C79</f>
        <v>13.994999999999999</v>
      </c>
      <c r="E79" s="11"/>
      <c r="F79" s="10">
        <v>106.42</v>
      </c>
      <c r="G79" s="10">
        <v>65.38</v>
      </c>
      <c r="H79" s="10">
        <v>40.49906635622817</v>
      </c>
      <c r="I79" s="13">
        <v>-0.57628069000000004</v>
      </c>
      <c r="J79" s="14">
        <f t="shared" si="7"/>
        <v>-55604.960129064595</v>
      </c>
      <c r="K79" s="14">
        <f t="shared" si="8"/>
        <v>-55015.902118893864</v>
      </c>
      <c r="L79" s="14">
        <f t="shared" si="9"/>
        <v>-54891.54817753</v>
      </c>
      <c r="M79" s="14">
        <f t="shared" si="10"/>
        <v>-54937.565737454606</v>
      </c>
      <c r="N79" s="14">
        <f t="shared" si="11"/>
        <v>-55012.232256240517</v>
      </c>
      <c r="O79" s="14">
        <f t="shared" si="12"/>
        <v>-55038.147567450324</v>
      </c>
      <c r="P79" s="14">
        <f t="shared" si="13"/>
        <v>-54972.014836291797</v>
      </c>
      <c r="Q79" s="50">
        <f t="shared" si="14"/>
        <v>-54791.428367136796</v>
      </c>
      <c r="T79" s="11" t="s">
        <v>13</v>
      </c>
      <c r="U79" s="10" t="s">
        <v>4</v>
      </c>
      <c r="V79" s="10">
        <f>J79+1/2*U67+1/2*U70</f>
        <v>-367256.61012906459</v>
      </c>
      <c r="W79" s="10">
        <f t="shared" ref="W79:AC79" si="19">K79+1/2*V67+1/2*V70</f>
        <v>-371042.65211889386</v>
      </c>
      <c r="X79" s="10">
        <f t="shared" si="19"/>
        <v>-375955.84817752999</v>
      </c>
      <c r="Y79" s="10">
        <f t="shared" si="19"/>
        <v>-381581.96573745465</v>
      </c>
      <c r="Z79" s="10">
        <f t="shared" si="19"/>
        <v>-387700.03225624049</v>
      </c>
      <c r="AA79" s="10">
        <f t="shared" si="19"/>
        <v>-394178.1475674503</v>
      </c>
      <c r="AB79" s="10">
        <f t="shared" si="19"/>
        <v>-400931.36483629176</v>
      </c>
      <c r="AC79" s="10">
        <f t="shared" si="19"/>
        <v>-407901.47836713679</v>
      </c>
    </row>
    <row r="80" spans="1:29" x14ac:dyDescent="0.4">
      <c r="A80" s="31" t="s">
        <v>39</v>
      </c>
      <c r="B80" s="10" t="s">
        <v>70</v>
      </c>
      <c r="C80" s="11">
        <v>48</v>
      </c>
      <c r="D80" s="11">
        <f>673.98/C80</f>
        <v>14.04125</v>
      </c>
      <c r="E80" s="11"/>
      <c r="F80" s="10">
        <v>106.42</v>
      </c>
      <c r="G80" s="10">
        <v>65.38</v>
      </c>
      <c r="H80" s="10">
        <v>40.49906635622817</v>
      </c>
      <c r="I80" s="13">
        <v>-0.437536906</v>
      </c>
      <c r="J80" s="14">
        <f t="shared" si="7"/>
        <v>-42026.906057453649</v>
      </c>
      <c r="K80" s="14">
        <f t="shared" si="8"/>
        <v>-41373.994490611309</v>
      </c>
      <c r="L80" s="14">
        <f t="shared" si="9"/>
        <v>-41185.42770157363</v>
      </c>
      <c r="M80" s="14">
        <f t="shared" si="10"/>
        <v>-41164.935676785113</v>
      </c>
      <c r="N80" s="14">
        <f t="shared" si="11"/>
        <v>-41168.649660499264</v>
      </c>
      <c r="O80" s="14">
        <f t="shared" si="12"/>
        <v>-41117.301214334271</v>
      </c>
      <c r="P80" s="14">
        <f t="shared" si="13"/>
        <v>-40967.124555054623</v>
      </c>
      <c r="Q80" s="50">
        <f t="shared" si="14"/>
        <v>-40697.013512094796</v>
      </c>
      <c r="T80" s="11" t="s">
        <v>39</v>
      </c>
      <c r="U80" s="10" t="s">
        <v>70</v>
      </c>
      <c r="V80" s="10">
        <f>J80+1/3*U67+2/3*U70</f>
        <v>-287704.13939078699</v>
      </c>
      <c r="W80" s="10">
        <f t="shared" ref="W80:AC80" si="20">K80+1/3*V67+2/3*V70</f>
        <v>-291489.86115727795</v>
      </c>
      <c r="X80" s="10">
        <f t="shared" si="20"/>
        <v>-296402.72770157363</v>
      </c>
      <c r="Y80" s="10">
        <f t="shared" si="20"/>
        <v>-302028.50234345178</v>
      </c>
      <c r="Z80" s="10">
        <f t="shared" si="20"/>
        <v>-308146.24966049928</v>
      </c>
      <c r="AA80" s="10">
        <f t="shared" si="20"/>
        <v>-314624.0345476676</v>
      </c>
      <c r="AB80" s="10">
        <f t="shared" si="20"/>
        <v>-321376.92455505463</v>
      </c>
      <c r="AC80" s="10">
        <f t="shared" si="20"/>
        <v>-328346.71351209481</v>
      </c>
    </row>
    <row r="81" spans="1:29" x14ac:dyDescent="0.4">
      <c r="A81" s="31" t="s">
        <v>40</v>
      </c>
      <c r="B81" s="10" t="s">
        <v>6</v>
      </c>
      <c r="C81" s="11">
        <v>4</v>
      </c>
      <c r="D81" s="11">
        <f>59.25/C81</f>
        <v>14.8125</v>
      </c>
      <c r="E81" s="11"/>
      <c r="F81" s="10">
        <v>195.084</v>
      </c>
      <c r="G81" s="10">
        <v>65.38</v>
      </c>
      <c r="H81" s="10">
        <v>48.968732415996065</v>
      </c>
      <c r="I81" s="13">
        <v>-0.312519875</v>
      </c>
      <c r="J81" s="14">
        <f t="shared" si="7"/>
        <v>-31058.626054065113</v>
      </c>
      <c r="K81" s="14">
        <f t="shared" si="8"/>
        <v>-30765.602199968504</v>
      </c>
      <c r="L81" s="14">
        <f t="shared" si="9"/>
        <v>-30932.908670876983</v>
      </c>
      <c r="M81" s="14">
        <f t="shared" si="10"/>
        <v>-31268.281893864903</v>
      </c>
      <c r="N81" s="14">
        <f t="shared" si="11"/>
        <v>-31630.900918650033</v>
      </c>
      <c r="O81" s="14">
        <f t="shared" si="12"/>
        <v>-31945.179107803968</v>
      </c>
      <c r="P81" s="14">
        <f t="shared" si="13"/>
        <v>-32169.114280049063</v>
      </c>
      <c r="Q81" s="50">
        <f t="shared" si="14"/>
        <v>-32280.112152579997</v>
      </c>
      <c r="T81" s="11" t="s">
        <v>40</v>
      </c>
      <c r="U81" s="10" t="s">
        <v>6</v>
      </c>
      <c r="V81" s="10">
        <f>J81+3/4*U68+1/4*U70</f>
        <v>-504811.1010540651</v>
      </c>
      <c r="W81" s="10">
        <f t="shared" ref="W81:AC81" si="21">K81+3/4*V68+1/4*V70</f>
        <v>-509088.4271999686</v>
      </c>
      <c r="X81" s="10">
        <f t="shared" si="21"/>
        <v>-514492.95867087704</v>
      </c>
      <c r="Y81" s="10">
        <f t="shared" si="21"/>
        <v>-520610.30689386494</v>
      </c>
      <c r="Z81" s="10">
        <f t="shared" si="21"/>
        <v>-527219.67591865011</v>
      </c>
      <c r="AA81" s="10">
        <f t="shared" si="21"/>
        <v>-534189.12910780392</v>
      </c>
      <c r="AB81" s="10">
        <f t="shared" si="21"/>
        <v>-541433.61428004899</v>
      </c>
      <c r="AC81" s="10">
        <f t="shared" si="21"/>
        <v>-548895.03715257999</v>
      </c>
    </row>
    <row r="82" spans="1:29" x14ac:dyDescent="0.4">
      <c r="A82" s="31" t="s">
        <v>16</v>
      </c>
      <c r="B82" s="10" t="s">
        <v>7</v>
      </c>
      <c r="C82" s="11">
        <v>2</v>
      </c>
      <c r="D82" s="11">
        <f>28.4/C82</f>
        <v>14.2</v>
      </c>
      <c r="E82" s="11"/>
      <c r="F82" s="10">
        <v>195.084</v>
      </c>
      <c r="G82" s="10">
        <v>65.38</v>
      </c>
      <c r="H82" s="10">
        <v>48.968732415996065</v>
      </c>
      <c r="I82" s="13">
        <v>-0.56528363999999998</v>
      </c>
      <c r="J82" s="14">
        <f t="shared" si="7"/>
        <v>-55512.539318982323</v>
      </c>
      <c r="K82" s="14">
        <f t="shared" si="8"/>
        <v>-55243.029423973931</v>
      </c>
      <c r="L82" s="14">
        <f t="shared" si="9"/>
        <v>-55434.948477568978</v>
      </c>
      <c r="M82" s="14">
        <f t="shared" si="10"/>
        <v>-55793.405795940576</v>
      </c>
      <c r="N82" s="14">
        <f t="shared" si="11"/>
        <v>-56175.133684772096</v>
      </c>
      <c r="O82" s="14">
        <f t="shared" si="12"/>
        <v>-56502.072725020924</v>
      </c>
      <c r="P82" s="14">
        <f t="shared" si="13"/>
        <v>-56731.320235794999</v>
      </c>
      <c r="Q82" s="50">
        <f t="shared" si="14"/>
        <v>-56841.644321743654</v>
      </c>
      <c r="T82" s="11" t="s">
        <v>16</v>
      </c>
      <c r="U82" s="10" t="s">
        <v>7</v>
      </c>
      <c r="V82" s="10">
        <f>J82+1/2*U68+1/2*U70</f>
        <v>-409256.98931898235</v>
      </c>
      <c r="W82" s="10">
        <f t="shared" ref="W82:AC82" si="22">K82+1/2*V68+1/2*V70</f>
        <v>-413556.27942397393</v>
      </c>
      <c r="X82" s="10">
        <f t="shared" si="22"/>
        <v>-418982.74847756902</v>
      </c>
      <c r="Y82" s="10">
        <f t="shared" si="22"/>
        <v>-425122.05579594063</v>
      </c>
      <c r="Z82" s="10">
        <f t="shared" si="22"/>
        <v>-431753.38368477207</v>
      </c>
      <c r="AA82" s="10">
        <f t="shared" si="22"/>
        <v>-438744.77272502088</v>
      </c>
      <c r="AB82" s="10">
        <f t="shared" si="22"/>
        <v>-446011.22023579502</v>
      </c>
      <c r="AC82" s="10">
        <f t="shared" si="22"/>
        <v>-453494.59432174364</v>
      </c>
    </row>
    <row r="83" spans="1:29" x14ac:dyDescent="0.4">
      <c r="A83" s="33" t="s">
        <v>41</v>
      </c>
      <c r="B83" s="10" t="s">
        <v>42</v>
      </c>
      <c r="C83" s="11">
        <v>16</v>
      </c>
      <c r="D83" s="10">
        <f>216/C83</f>
        <v>13.5</v>
      </c>
      <c r="E83" s="10"/>
      <c r="F83" s="10">
        <v>101.07</v>
      </c>
      <c r="G83" s="10">
        <v>65.38</v>
      </c>
      <c r="H83" s="10">
        <v>39.69934875337939</v>
      </c>
      <c r="I83" s="13">
        <v>-0.15151983299999999</v>
      </c>
      <c r="J83" s="14">
        <f t="shared" si="7"/>
        <v>-14889.727060623145</v>
      </c>
      <c r="K83" s="14">
        <f t="shared" si="8"/>
        <v>-14394.568264524118</v>
      </c>
      <c r="L83" s="14">
        <f t="shared" si="9"/>
        <v>-14369.600545235742</v>
      </c>
      <c r="M83" s="14">
        <f t="shared" si="10"/>
        <v>-14513.482383578023</v>
      </c>
      <c r="N83" s="14">
        <f t="shared" si="11"/>
        <v>-14678.54105475192</v>
      </c>
      <c r="O83" s="14">
        <f t="shared" si="12"/>
        <v>-14783.119955571528</v>
      </c>
      <c r="P83" s="14">
        <f t="shared" si="13"/>
        <v>-14782.732612971871</v>
      </c>
      <c r="Q83" s="50">
        <f t="shared" si="14"/>
        <v>-14657.087434230372</v>
      </c>
      <c r="T83" s="10" t="s">
        <v>41</v>
      </c>
      <c r="U83" s="10" t="s">
        <v>42</v>
      </c>
      <c r="V83" s="10">
        <f>J83+1/4*U69+3/4*U70</f>
        <v>-324410.27706062316</v>
      </c>
      <c r="W83" s="10">
        <f t="shared" ref="W83:AC83" si="23">K83+1/4*V69+3/4*V70</f>
        <v>-328150.64326452411</v>
      </c>
      <c r="X83" s="10">
        <f t="shared" si="23"/>
        <v>-333018.07554523577</v>
      </c>
      <c r="Y83" s="10">
        <f t="shared" si="23"/>
        <v>-338598.40738357801</v>
      </c>
      <c r="Z83" s="10">
        <f t="shared" si="23"/>
        <v>-344670.94105475192</v>
      </c>
      <c r="AA83" s="10">
        <f t="shared" si="23"/>
        <v>-351103.26995557157</v>
      </c>
      <c r="AB83" s="10">
        <f t="shared" si="23"/>
        <v>-357810.75761297188</v>
      </c>
      <c r="AC83" s="10">
        <f t="shared" si="23"/>
        <v>-364735.08743423037</v>
      </c>
    </row>
    <row r="84" spans="1:29" x14ac:dyDescent="0.4">
      <c r="A84" s="33" t="s">
        <v>64</v>
      </c>
      <c r="B84" s="10" t="s">
        <v>66</v>
      </c>
      <c r="C84" s="10">
        <v>52</v>
      </c>
      <c r="D84" s="10">
        <v>14.229615384615386</v>
      </c>
      <c r="E84" s="10"/>
      <c r="F84" s="10">
        <v>106.42</v>
      </c>
      <c r="G84" s="10">
        <v>65.38</v>
      </c>
      <c r="H84" s="10">
        <v>40.49906635622817</v>
      </c>
      <c r="I84" s="10">
        <v>-0.33600000000000002</v>
      </c>
      <c r="J84" s="10">
        <f t="shared" si="7"/>
        <v>-32109.814670199419</v>
      </c>
      <c r="K84" s="10">
        <f t="shared" si="8"/>
        <v>-31416.76273965638</v>
      </c>
      <c r="L84" s="10">
        <f t="shared" si="9"/>
        <v>-31187.834484762712</v>
      </c>
      <c r="M84" s="10">
        <f t="shared" si="10"/>
        <v>-31125.567617478802</v>
      </c>
      <c r="N84" s="10">
        <f t="shared" si="11"/>
        <v>-31084.772635399888</v>
      </c>
      <c r="O84" s="10">
        <f t="shared" si="12"/>
        <v>-30985.031394332203</v>
      </c>
      <c r="P84" s="10">
        <f t="shared" si="13"/>
        <v>-30782.289527382964</v>
      </c>
      <c r="Q84" s="49">
        <f t="shared" si="14"/>
        <v>-30456.240571717368</v>
      </c>
      <c r="T84" s="10" t="s">
        <v>64</v>
      </c>
      <c r="U84" s="10" t="s">
        <v>66</v>
      </c>
      <c r="V84" s="11">
        <f>J84+3/13*U67+10/13*U70</f>
        <v>-237187.40697789175</v>
      </c>
      <c r="W84" s="11">
        <f t="shared" ref="W84:AC84" si="24">K84+3/13*V67+10/13*V70</f>
        <v>-240972.08581657946</v>
      </c>
      <c r="X84" s="11">
        <f t="shared" si="24"/>
        <v>-245883.90371553192</v>
      </c>
      <c r="Y84" s="11">
        <f t="shared" si="24"/>
        <v>-251508.62146363265</v>
      </c>
      <c r="Z84" s="11">
        <f t="shared" si="24"/>
        <v>-257625.32648155378</v>
      </c>
      <c r="AA84" s="11">
        <f t="shared" si="24"/>
        <v>-264102.06216356304</v>
      </c>
      <c r="AB84" s="11">
        <f t="shared" si="24"/>
        <v>-270853.90491199837</v>
      </c>
      <c r="AC84" s="11">
        <f t="shared" si="24"/>
        <v>-277822.64826402505</v>
      </c>
    </row>
    <row r="85" spans="1:29" x14ac:dyDescent="0.4">
      <c r="A85" s="51" t="s">
        <v>138</v>
      </c>
      <c r="B85" s="13" t="s">
        <v>162</v>
      </c>
      <c r="C85" s="13">
        <v>16</v>
      </c>
      <c r="D85" s="10">
        <f>427.39/C85</f>
        <v>26.711874999999999</v>
      </c>
      <c r="E85" s="10">
        <v>137.327</v>
      </c>
      <c r="F85" s="10">
        <v>114.818</v>
      </c>
      <c r="G85" s="10">
        <v>102.90549</v>
      </c>
      <c r="H85" s="10">
        <f>(E85*F85/(E85+F85)+E85*G85/(E85+G85)+F85*G85/(F85+G85))/3</f>
        <v>58.54231356051978</v>
      </c>
      <c r="I85" s="13">
        <v>-0.45800000000000002</v>
      </c>
      <c r="J85" s="10">
        <f t="shared" si="7"/>
        <v>-44825.376885619291</v>
      </c>
      <c r="K85" s="10">
        <f t="shared" si="8"/>
        <v>-44407.740828916794</v>
      </c>
      <c r="L85" s="10">
        <f t="shared" si="9"/>
        <v>-44344.303826841147</v>
      </c>
      <c r="M85" s="10">
        <f t="shared" si="10"/>
        <v>-44328.573488525872</v>
      </c>
      <c r="N85" s="10">
        <f t="shared" si="11"/>
        <v>-44225.338158780673</v>
      </c>
      <c r="O85" s="10">
        <f t="shared" si="12"/>
        <v>-43969.233855368009</v>
      </c>
      <c r="P85" s="10">
        <f t="shared" si="13"/>
        <v>-43527.415569839475</v>
      </c>
      <c r="Q85" s="49">
        <f t="shared" si="14"/>
        <v>-42883.552921097034</v>
      </c>
      <c r="T85" s="42"/>
      <c r="AC85" s="44"/>
    </row>
    <row r="86" spans="1:29" x14ac:dyDescent="0.4">
      <c r="A86" s="51" t="s">
        <v>136</v>
      </c>
      <c r="B86" s="13" t="s">
        <v>164</v>
      </c>
      <c r="C86" s="13">
        <v>16</v>
      </c>
      <c r="D86" s="10">
        <f>222.14/C86</f>
        <v>13.883749999999999</v>
      </c>
      <c r="E86" s="10">
        <v>24.305</v>
      </c>
      <c r="F86" s="10">
        <v>69.722999999999999</v>
      </c>
      <c r="G86" s="10">
        <v>102.90549</v>
      </c>
      <c r="H86" s="10">
        <f>(E86*F86/(E86+F86)+E86*G86/(E86+G86)+F86*G86/(F86+G86))/3</f>
        <v>26.415426155661681</v>
      </c>
      <c r="I86" s="13">
        <v>-0.68300000000000005</v>
      </c>
      <c r="J86" s="10">
        <f t="shared" si="7"/>
        <v>-65619.288550050449</v>
      </c>
      <c r="K86" s="10">
        <f t="shared" si="8"/>
        <v>-64940.911732217515</v>
      </c>
      <c r="L86" s="10">
        <f t="shared" si="9"/>
        <v>-64729.438261117117</v>
      </c>
      <c r="M86" s="10">
        <f t="shared" si="10"/>
        <v>-64683.593587895099</v>
      </c>
      <c r="N86" s="10">
        <f t="shared" si="11"/>
        <v>-64658.331512902776</v>
      </c>
      <c r="O86" s="10">
        <f t="shared" si="12"/>
        <v>-64575.666931256259</v>
      </c>
      <c r="P86" s="10">
        <f t="shared" si="13"/>
        <v>-64390.394950682588</v>
      </c>
      <c r="Q86" s="49">
        <f t="shared" si="14"/>
        <v>-64074.738085814366</v>
      </c>
      <c r="T86" s="43"/>
      <c r="AC86" s="45"/>
    </row>
    <row r="87" spans="1:29" x14ac:dyDescent="0.4">
      <c r="A87" s="51" t="s">
        <v>137</v>
      </c>
      <c r="B87" s="13" t="s">
        <v>165</v>
      </c>
      <c r="C87" s="13">
        <v>16</v>
      </c>
      <c r="D87" s="10">
        <f>250.53/C87</f>
        <v>15.658125</v>
      </c>
      <c r="E87" s="10">
        <v>24.305</v>
      </c>
      <c r="F87" s="10">
        <v>114.818</v>
      </c>
      <c r="G87" s="10">
        <v>102.90549</v>
      </c>
      <c r="H87" s="10">
        <f t="shared" ref="H87" si="25">(E87*F87/(E87+F87)+E87*G87/(E87+G87)+F87*G87/(F87+G87))/3</f>
        <v>31.329354099612015</v>
      </c>
      <c r="I87" s="13">
        <v>-0.52700000000000002</v>
      </c>
      <c r="J87" s="10">
        <f t="shared" si="7"/>
        <v>-51685.115438690758</v>
      </c>
      <c r="K87" s="10">
        <f t="shared" si="8"/>
        <v>-51379.251519604601</v>
      </c>
      <c r="L87" s="10">
        <f t="shared" si="9"/>
        <v>-51540.290947250978</v>
      </c>
      <c r="M87" s="10">
        <f t="shared" si="10"/>
        <v>-51866.959172775736</v>
      </c>
      <c r="N87" s="10">
        <f t="shared" si="11"/>
        <v>-52214.20999653019</v>
      </c>
      <c r="O87" s="10">
        <f t="shared" si="12"/>
        <v>-52504.058313630434</v>
      </c>
      <c r="P87" s="10">
        <f t="shared" si="13"/>
        <v>-52691.299231803539</v>
      </c>
      <c r="Q87" s="49">
        <f t="shared" si="14"/>
        <v>-52748.155265682093</v>
      </c>
      <c r="T87" s="43"/>
      <c r="AC87" s="45"/>
    </row>
    <row r="88" spans="1:29" ht="14.25" thickBot="1" x14ac:dyDescent="0.45">
      <c r="A88" s="54" t="s">
        <v>119</v>
      </c>
      <c r="B88" s="55" t="s">
        <v>108</v>
      </c>
      <c r="C88" s="55"/>
      <c r="D88" s="55"/>
      <c r="E88" s="55"/>
      <c r="F88" s="55"/>
      <c r="G88" s="55"/>
      <c r="H88" s="55"/>
      <c r="I88" s="55"/>
      <c r="J88" s="56">
        <f t="shared" si="7"/>
        <v>-58414.957257530747</v>
      </c>
      <c r="K88" s="56">
        <f t="shared" si="8"/>
        <v>-57441.956190407502</v>
      </c>
      <c r="L88" s="56">
        <f t="shared" si="9"/>
        <v>-56909.124721779721</v>
      </c>
      <c r="M88" s="56">
        <f t="shared" si="10"/>
        <v>-56516.684208776678</v>
      </c>
      <c r="N88" s="56">
        <f t="shared" si="11"/>
        <v>-56119.523816997855</v>
      </c>
      <c r="O88" s="56">
        <f t="shared" si="12"/>
        <v>-55639.516404553251</v>
      </c>
      <c r="P88" s="56">
        <f t="shared" si="13"/>
        <v>-55031.54710015747</v>
      </c>
      <c r="Q88" s="57">
        <f t="shared" si="14"/>
        <v>-54268.280880507969</v>
      </c>
      <c r="T88" s="13" t="s">
        <v>119</v>
      </c>
      <c r="U88" s="11" t="s">
        <v>108</v>
      </c>
      <c r="V88" s="11">
        <f t="shared" ref="V88:AC88" si="26">J88+(C309+4*C307+2*C308+C302)/8</f>
        <v>-524654.07222653995</v>
      </c>
      <c r="W88" s="11">
        <f t="shared" si="26"/>
        <v>-527208.65073639294</v>
      </c>
      <c r="X88" s="11">
        <f t="shared" si="26"/>
        <v>-530839.09085507737</v>
      </c>
      <c r="Y88" s="11">
        <f t="shared" si="26"/>
        <v>-535141.37400771666</v>
      </c>
      <c r="Z88" s="11">
        <f t="shared" si="26"/>
        <v>-539899.20521367609</v>
      </c>
      <c r="AA88" s="11">
        <f t="shared" si="26"/>
        <v>-544983.62530168844</v>
      </c>
      <c r="AB88" s="11">
        <f t="shared" si="26"/>
        <v>-550313.55758168851</v>
      </c>
      <c r="AC88" s="11">
        <f t="shared" si="26"/>
        <v>-555836.04209614603</v>
      </c>
    </row>
    <row r="99" spans="1:26" ht="18" thickBot="1" x14ac:dyDescent="0.55000000000000004">
      <c r="A99" s="37" t="s">
        <v>225</v>
      </c>
      <c r="Z99" s="6"/>
    </row>
    <row r="100" spans="1:26" ht="14.25" thickBot="1" x14ac:dyDescent="0.45">
      <c r="A100" s="59" t="s">
        <v>65</v>
      </c>
      <c r="B100" s="22" t="s">
        <v>158</v>
      </c>
      <c r="C100" s="22">
        <v>-232.06852759769905</v>
      </c>
      <c r="D100" s="22">
        <v>-236.42086575539136</v>
      </c>
      <c r="E100" s="22">
        <v>-241.3899654092375</v>
      </c>
      <c r="F100" s="22">
        <v>-246.85451569769904</v>
      </c>
      <c r="G100" s="22">
        <v>-252.73283528616059</v>
      </c>
      <c r="H100" s="22">
        <v>-258.96626749769905</v>
      </c>
      <c r="I100" s="22">
        <v>-265.51067760154518</v>
      </c>
      <c r="J100" s="22">
        <v>-272.33166628616061</v>
      </c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3"/>
      <c r="Z100" s="6"/>
    </row>
    <row r="101" spans="1:26" ht="14.25" thickBot="1" x14ac:dyDescent="0.45">
      <c r="A101" s="75" t="s">
        <v>226</v>
      </c>
      <c r="B101" s="76"/>
      <c r="C101" s="76"/>
      <c r="D101" s="76"/>
      <c r="E101" s="76"/>
      <c r="F101" s="76"/>
      <c r="G101" s="76"/>
      <c r="H101" s="76"/>
      <c r="I101" s="76"/>
      <c r="J101" s="77"/>
      <c r="L101" s="78" t="s">
        <v>227</v>
      </c>
      <c r="M101" s="79"/>
      <c r="N101" s="79"/>
      <c r="O101" s="79"/>
      <c r="P101" s="79"/>
      <c r="Q101" s="79"/>
      <c r="R101" s="79"/>
      <c r="S101" s="79"/>
      <c r="T101" s="79"/>
      <c r="U101" s="80"/>
      <c r="Z101" s="6"/>
    </row>
    <row r="102" spans="1:26" ht="14.25" thickBot="1" x14ac:dyDescent="0.45">
      <c r="A102" s="33" t="s">
        <v>18</v>
      </c>
      <c r="B102" s="10" t="s">
        <v>35</v>
      </c>
      <c r="C102" s="10" t="s">
        <v>21</v>
      </c>
      <c r="D102" s="10" t="s">
        <v>22</v>
      </c>
      <c r="E102" s="10" t="s">
        <v>23</v>
      </c>
      <c r="F102" s="10" t="s">
        <v>24</v>
      </c>
      <c r="G102" s="10" t="s">
        <v>25</v>
      </c>
      <c r="H102" s="10" t="s">
        <v>26</v>
      </c>
      <c r="I102" s="10" t="s">
        <v>27</v>
      </c>
      <c r="J102" s="10" t="s">
        <v>28</v>
      </c>
      <c r="L102" s="3" t="s">
        <v>18</v>
      </c>
      <c r="M102" s="3" t="s">
        <v>20</v>
      </c>
      <c r="N102" s="3" t="s">
        <v>21</v>
      </c>
      <c r="O102" s="3" t="s">
        <v>22</v>
      </c>
      <c r="P102" s="3" t="s">
        <v>23</v>
      </c>
      <c r="Q102" s="3" t="s">
        <v>24</v>
      </c>
      <c r="R102" s="3" t="s">
        <v>25</v>
      </c>
      <c r="S102" s="3" t="s">
        <v>26</v>
      </c>
      <c r="T102" s="3" t="s">
        <v>27</v>
      </c>
      <c r="U102" s="3" t="s">
        <v>28</v>
      </c>
      <c r="Z102" s="6"/>
    </row>
    <row r="103" spans="1:26" ht="16.149999999999999" thickBot="1" x14ac:dyDescent="0.45">
      <c r="A103" s="33" t="s">
        <v>36</v>
      </c>
      <c r="B103" s="10" t="s">
        <v>0</v>
      </c>
      <c r="C103" s="10">
        <v>-437851.4</v>
      </c>
      <c r="D103" s="10">
        <v>-441261.125</v>
      </c>
      <c r="E103" s="10">
        <v>-445276.15</v>
      </c>
      <c r="F103" s="10">
        <v>-449780.8</v>
      </c>
      <c r="G103" s="10">
        <v>-454695.875</v>
      </c>
      <c r="H103" s="10">
        <v>-459963.92499999999</v>
      </c>
      <c r="I103" s="10">
        <v>-465541.55</v>
      </c>
      <c r="J103" s="10">
        <v>-471394.75</v>
      </c>
      <c r="L103" s="2" t="s">
        <v>9</v>
      </c>
      <c r="M103" s="3" t="s">
        <v>0</v>
      </c>
      <c r="N103" s="4">
        <v>-11306.475</v>
      </c>
      <c r="O103" s="4">
        <v>-10800.375</v>
      </c>
      <c r="P103" s="4">
        <v>-10242.450000000001</v>
      </c>
      <c r="Q103" s="4">
        <v>-9630.375</v>
      </c>
      <c r="R103" s="4">
        <v>-8959.5249999999996</v>
      </c>
      <c r="S103" s="4">
        <v>-8224.5249999999996</v>
      </c>
      <c r="T103" s="4">
        <v>-7421.95</v>
      </c>
      <c r="U103" s="4">
        <v>-6550.9</v>
      </c>
      <c r="Z103" s="6"/>
    </row>
    <row r="104" spans="1:26" ht="14.25" thickBot="1" x14ac:dyDescent="0.45">
      <c r="A104" s="33" t="s">
        <v>10</v>
      </c>
      <c r="B104" s="10" t="s">
        <v>1</v>
      </c>
      <c r="C104" s="10">
        <v>-346528.45</v>
      </c>
      <c r="D104" s="10">
        <v>-350068.8</v>
      </c>
      <c r="E104" s="10">
        <v>-354216.5</v>
      </c>
      <c r="F104" s="10">
        <v>-358854.95</v>
      </c>
      <c r="G104" s="10">
        <v>-363904.4</v>
      </c>
      <c r="H104" s="10">
        <v>-369307.3</v>
      </c>
      <c r="I104" s="10">
        <v>-375020</v>
      </c>
      <c r="J104" s="10">
        <v>-381008.45</v>
      </c>
      <c r="L104" s="2" t="s">
        <v>10</v>
      </c>
      <c r="M104" s="3" t="s">
        <v>1</v>
      </c>
      <c r="N104" s="4">
        <v>-24255.7</v>
      </c>
      <c r="O104" s="4">
        <v>-23663.599999999999</v>
      </c>
      <c r="P104" s="4">
        <v>-23019.599999999999</v>
      </c>
      <c r="Q104" s="4">
        <v>-22320.7</v>
      </c>
      <c r="R104" s="4">
        <v>-21561.1</v>
      </c>
      <c r="S104" s="4">
        <v>-20734.3</v>
      </c>
      <c r="T104" s="4">
        <v>-19836.7</v>
      </c>
      <c r="U104" s="4">
        <v>-18869.55</v>
      </c>
      <c r="Z104" s="6"/>
    </row>
    <row r="105" spans="1:26" ht="16.149999999999999" thickBot="1" x14ac:dyDescent="0.45">
      <c r="A105" s="33" t="s">
        <v>37</v>
      </c>
      <c r="B105" s="11" t="s">
        <v>3</v>
      </c>
      <c r="C105" s="10">
        <v>-441732.625</v>
      </c>
      <c r="D105" s="10">
        <v>-445941.55</v>
      </c>
      <c r="E105" s="10">
        <v>-450766.95</v>
      </c>
      <c r="F105" s="10">
        <v>-456087.75</v>
      </c>
      <c r="G105" s="10">
        <v>-461822.07500000001</v>
      </c>
      <c r="H105" s="10">
        <v>-467911.52500000002</v>
      </c>
      <c r="I105" s="10">
        <v>-474312</v>
      </c>
      <c r="J105" s="10">
        <v>-480989</v>
      </c>
      <c r="L105" s="2" t="s">
        <v>11</v>
      </c>
      <c r="M105" s="1" t="s">
        <v>3</v>
      </c>
      <c r="N105" s="19">
        <v>-31119.35</v>
      </c>
      <c r="O105" s="4">
        <v>-31048.474999999999</v>
      </c>
      <c r="P105" s="4">
        <v>-30932.15</v>
      </c>
      <c r="Q105" s="4">
        <v>-30772.1</v>
      </c>
      <c r="R105" s="4">
        <v>-30568.974999999999</v>
      </c>
      <c r="S105" s="4">
        <v>-30321.625</v>
      </c>
      <c r="T105" s="4">
        <v>-30028.325000000001</v>
      </c>
      <c r="U105" s="4">
        <v>-29688.424999999999</v>
      </c>
      <c r="Z105" s="6"/>
    </row>
    <row r="106" spans="1:26" ht="16.149999999999999" thickBot="1" x14ac:dyDescent="0.45">
      <c r="A106" s="33" t="s">
        <v>38</v>
      </c>
      <c r="B106" s="11" t="s">
        <v>2</v>
      </c>
      <c r="C106" s="10">
        <v>-420260.8</v>
      </c>
      <c r="D106" s="10">
        <v>-424378.23333333334</v>
      </c>
      <c r="E106" s="10">
        <v>-429110.66666666669</v>
      </c>
      <c r="F106" s="10">
        <v>-434337.66666666663</v>
      </c>
      <c r="G106" s="10">
        <v>-439978</v>
      </c>
      <c r="H106" s="10">
        <v>-445973.1</v>
      </c>
      <c r="I106" s="10">
        <v>-452279</v>
      </c>
      <c r="J106" s="10">
        <v>-458861.33333333331</v>
      </c>
      <c r="L106" s="2" t="s">
        <v>12</v>
      </c>
      <c r="M106" s="1" t="s">
        <v>2</v>
      </c>
      <c r="N106" s="4">
        <v>-42634.73333333333</v>
      </c>
      <c r="O106" s="4">
        <v>-42440.6</v>
      </c>
      <c r="P106" s="4">
        <v>-42199.366666666669</v>
      </c>
      <c r="Q106" s="4">
        <v>-41912.433333333334</v>
      </c>
      <c r="R106" s="4">
        <v>-41580</v>
      </c>
      <c r="S106" s="4">
        <v>-41199.833333333336</v>
      </c>
      <c r="T106" s="4">
        <v>-40770.1</v>
      </c>
      <c r="U106" s="4">
        <v>-40290.933333333334</v>
      </c>
      <c r="Z106" s="6"/>
    </row>
    <row r="107" spans="1:26" ht="14.25" thickBot="1" x14ac:dyDescent="0.45">
      <c r="A107" s="33" t="s">
        <v>13</v>
      </c>
      <c r="B107" s="10" t="s">
        <v>4</v>
      </c>
      <c r="C107" s="10">
        <v>-364810.85</v>
      </c>
      <c r="D107" s="10">
        <v>-368896.35</v>
      </c>
      <c r="E107" s="10">
        <v>-373597.15</v>
      </c>
      <c r="F107" s="10">
        <v>-378792.5</v>
      </c>
      <c r="G107" s="10">
        <v>-384401.65</v>
      </c>
      <c r="H107" s="10">
        <v>-390365.4</v>
      </c>
      <c r="I107" s="10">
        <v>-396640</v>
      </c>
      <c r="J107" s="10">
        <v>-403191.05</v>
      </c>
      <c r="L107" s="2" t="s">
        <v>13</v>
      </c>
      <c r="M107" s="3" t="s">
        <v>4</v>
      </c>
      <c r="N107" s="4">
        <v>-53159.199999999997</v>
      </c>
      <c r="O107" s="4">
        <v>-52869.599999999999</v>
      </c>
      <c r="P107" s="4">
        <v>-52532.85</v>
      </c>
      <c r="Q107" s="4">
        <v>-52148.1</v>
      </c>
      <c r="R107" s="4">
        <v>-51713.85</v>
      </c>
      <c r="S107" s="4">
        <v>-51225.4</v>
      </c>
      <c r="T107" s="4">
        <v>-50680.65</v>
      </c>
      <c r="U107" s="4">
        <v>-50081</v>
      </c>
    </row>
    <row r="108" spans="1:26" ht="16.149999999999999" thickBot="1" x14ac:dyDescent="0.45">
      <c r="A108" s="33" t="s">
        <v>39</v>
      </c>
      <c r="B108" s="10" t="s">
        <v>5</v>
      </c>
      <c r="C108" s="10">
        <v>-285649.10000000003</v>
      </c>
      <c r="D108" s="10">
        <v>-289872.96666666667</v>
      </c>
      <c r="E108" s="10">
        <v>-294713.3666666667</v>
      </c>
      <c r="F108" s="10">
        <v>-300049.00000000006</v>
      </c>
      <c r="G108" s="10">
        <v>-305798.43333333335</v>
      </c>
      <c r="H108" s="10">
        <v>-311902.89999999997</v>
      </c>
      <c r="I108" s="10">
        <v>-318318.33333333331</v>
      </c>
      <c r="J108" s="10">
        <v>-325010.26666666666</v>
      </c>
      <c r="L108" s="2" t="s">
        <v>14</v>
      </c>
      <c r="M108" s="3" t="s">
        <v>5</v>
      </c>
      <c r="N108" s="4">
        <v>-39971.866666666669</v>
      </c>
      <c r="O108" s="4">
        <v>-39757.1</v>
      </c>
      <c r="P108" s="4">
        <v>-39496.066666666666</v>
      </c>
      <c r="Q108" s="4">
        <v>-39185.433333333334</v>
      </c>
      <c r="R108" s="4">
        <v>-38820.833333333336</v>
      </c>
      <c r="S108" s="4">
        <v>-38396.166666666664</v>
      </c>
      <c r="T108" s="4">
        <v>-37908.533333333333</v>
      </c>
      <c r="U108" s="4">
        <v>-37360.566666666666</v>
      </c>
      <c r="Y108" s="6"/>
    </row>
    <row r="109" spans="1:26" ht="16.149999999999999" thickBot="1" x14ac:dyDescent="0.45">
      <c r="A109" s="33" t="s">
        <v>40</v>
      </c>
      <c r="B109" s="10" t="s">
        <v>6</v>
      </c>
      <c r="C109" s="10">
        <v>-504120.45</v>
      </c>
      <c r="D109" s="10">
        <v>-508645.375</v>
      </c>
      <c r="E109" s="10">
        <v>-513789.45</v>
      </c>
      <c r="F109" s="10">
        <v>-519430.22499999998</v>
      </c>
      <c r="G109" s="10">
        <v>-525485.42500000005</v>
      </c>
      <c r="H109" s="10">
        <v>-531896.22499999998</v>
      </c>
      <c r="I109" s="10">
        <v>-538618.27500000002</v>
      </c>
      <c r="J109" s="10">
        <v>-545617.1</v>
      </c>
      <c r="L109" s="2" t="s">
        <v>15</v>
      </c>
      <c r="M109" s="3" t="s">
        <v>6</v>
      </c>
      <c r="N109" s="4">
        <v>-30367.974999999999</v>
      </c>
      <c r="O109" s="4">
        <v>-30322.55</v>
      </c>
      <c r="P109" s="4">
        <v>-30229.4</v>
      </c>
      <c r="Q109" s="4">
        <v>-30088.2</v>
      </c>
      <c r="R109" s="4">
        <v>-29896.65</v>
      </c>
      <c r="S109" s="4">
        <v>-29652.275000000001</v>
      </c>
      <c r="T109" s="4">
        <v>-29353.775000000001</v>
      </c>
      <c r="U109" s="4">
        <v>-29002.174999999999</v>
      </c>
      <c r="Y109" s="6"/>
    </row>
    <row r="110" spans="1:26" ht="14.25" thickBot="1" x14ac:dyDescent="0.45">
      <c r="A110" s="33" t="s">
        <v>16</v>
      </c>
      <c r="B110" s="10" t="s">
        <v>7</v>
      </c>
      <c r="C110" s="10">
        <v>-405544.8</v>
      </c>
      <c r="D110" s="10">
        <v>-409861.4</v>
      </c>
      <c r="E110" s="10">
        <v>-414794.45</v>
      </c>
      <c r="F110" s="10">
        <v>-420222.85</v>
      </c>
      <c r="G110" s="10">
        <v>-426065</v>
      </c>
      <c r="H110" s="10">
        <v>-432262.15</v>
      </c>
      <c r="I110" s="10">
        <v>-438770.25</v>
      </c>
      <c r="J110" s="10">
        <v>-445554.95</v>
      </c>
      <c r="L110" s="2" t="s">
        <v>16</v>
      </c>
      <c r="M110" s="3" t="s">
        <v>7</v>
      </c>
      <c r="N110" s="4">
        <v>-51800.35</v>
      </c>
      <c r="O110" s="4">
        <v>-51548.15</v>
      </c>
      <c r="P110" s="4">
        <v>-51246.65</v>
      </c>
      <c r="Q110" s="4">
        <v>-50894.2</v>
      </c>
      <c r="R110" s="4">
        <v>-50486.75</v>
      </c>
      <c r="S110" s="4">
        <v>-50019.45</v>
      </c>
      <c r="T110" s="4">
        <v>-49490.35</v>
      </c>
      <c r="U110" s="4">
        <v>-48902</v>
      </c>
      <c r="Y110" s="6"/>
    </row>
    <row r="111" spans="1:26" ht="16.149999999999999" thickBot="1" x14ac:dyDescent="0.45">
      <c r="A111" s="33" t="s">
        <v>41</v>
      </c>
      <c r="B111" s="10" t="s">
        <v>42</v>
      </c>
      <c r="C111" s="10">
        <v>-320283.2</v>
      </c>
      <c r="D111" s="10">
        <v>-324157.2</v>
      </c>
      <c r="E111" s="10">
        <v>-328643.72499999998</v>
      </c>
      <c r="F111" s="10">
        <v>-333623.57500000001</v>
      </c>
      <c r="G111" s="10">
        <v>-339015.97499999998</v>
      </c>
      <c r="H111" s="10">
        <v>-344762.72499999998</v>
      </c>
      <c r="I111" s="10">
        <v>-350819.92499999999</v>
      </c>
      <c r="J111" s="10">
        <v>-357153.35</v>
      </c>
      <c r="L111" s="2" t="s">
        <v>17</v>
      </c>
      <c r="M111" s="3" t="s">
        <v>8</v>
      </c>
      <c r="N111" s="4">
        <v>-10762.65</v>
      </c>
      <c r="O111" s="4">
        <v>-10401.125</v>
      </c>
      <c r="P111" s="4">
        <v>-9995.25</v>
      </c>
      <c r="Q111" s="4">
        <v>-9538.65</v>
      </c>
      <c r="R111" s="4">
        <v>-9023.5750000000007</v>
      </c>
      <c r="S111" s="4">
        <v>-8442.5750000000007</v>
      </c>
      <c r="T111" s="4">
        <v>-7791.9</v>
      </c>
      <c r="U111" s="4">
        <v>-7075.35</v>
      </c>
      <c r="Y111" s="6"/>
    </row>
    <row r="112" spans="1:26" ht="14.25" thickBot="1" x14ac:dyDescent="0.45">
      <c r="A112" s="60" t="s">
        <v>65</v>
      </c>
      <c r="B112" s="55" t="s">
        <v>118</v>
      </c>
      <c r="C112" s="55">
        <f>C100*1000</f>
        <v>-232068.52759769905</v>
      </c>
      <c r="D112" s="55">
        <f t="shared" ref="D112:J112" si="27">D100*1000</f>
        <v>-236420.86575539137</v>
      </c>
      <c r="E112" s="55">
        <f t="shared" si="27"/>
        <v>-241389.96540923751</v>
      </c>
      <c r="F112" s="55">
        <f t="shared" si="27"/>
        <v>-246854.51569769904</v>
      </c>
      <c r="G112" s="55">
        <f t="shared" si="27"/>
        <v>-252732.83528616058</v>
      </c>
      <c r="H112" s="55">
        <f t="shared" si="27"/>
        <v>-258966.26749769904</v>
      </c>
      <c r="I112" s="55">
        <f t="shared" si="27"/>
        <v>-265510.67760154518</v>
      </c>
      <c r="J112" s="55">
        <f t="shared" si="27"/>
        <v>-272331.66628616059</v>
      </c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6"/>
      <c r="Y112" s="6"/>
    </row>
    <row r="113" spans="1:25" x14ac:dyDescent="0.4">
      <c r="Y113" s="6"/>
    </row>
    <row r="114" spans="1:25" x14ac:dyDescent="0.4">
      <c r="Y114" s="6"/>
    </row>
    <row r="115" spans="1:25" x14ac:dyDescent="0.4">
      <c r="A115" s="66" t="s">
        <v>241</v>
      </c>
      <c r="B115" s="66"/>
      <c r="C115" s="66"/>
      <c r="D115" s="66"/>
      <c r="E115" s="66"/>
      <c r="F115" s="66"/>
      <c r="G115" s="66"/>
      <c r="H115" s="66"/>
      <c r="I115" s="66"/>
      <c r="Y115" s="6"/>
    </row>
    <row r="116" spans="1:25" x14ac:dyDescent="0.4">
      <c r="A116" s="58" t="s">
        <v>29</v>
      </c>
      <c r="B116" s="58">
        <v>300</v>
      </c>
      <c r="C116" s="58">
        <v>400</v>
      </c>
      <c r="D116" s="58">
        <v>500</v>
      </c>
      <c r="E116" s="58">
        <v>600</v>
      </c>
      <c r="F116" s="58">
        <v>700</v>
      </c>
      <c r="G116" s="58">
        <v>800</v>
      </c>
      <c r="H116" s="58">
        <v>900</v>
      </c>
      <c r="I116" s="58">
        <v>1000</v>
      </c>
    </row>
    <row r="117" spans="1:25" x14ac:dyDescent="0.4">
      <c r="A117" s="58" t="s">
        <v>30</v>
      </c>
      <c r="B117" s="58">
        <v>-530817.1</v>
      </c>
      <c r="C117" s="58">
        <v>-534516.30000000005</v>
      </c>
      <c r="D117" s="58">
        <v>-538870.5</v>
      </c>
      <c r="E117" s="58">
        <v>-543766.6</v>
      </c>
      <c r="F117" s="58">
        <v>-549129.4</v>
      </c>
      <c r="G117" s="58">
        <v>-554905.80000000005</v>
      </c>
      <c r="H117" s="58">
        <v>-561055.9</v>
      </c>
      <c r="I117" s="58">
        <v>-567548.80000000005</v>
      </c>
    </row>
    <row r="118" spans="1:25" x14ac:dyDescent="0.4">
      <c r="A118" s="58" t="s">
        <v>31</v>
      </c>
      <c r="B118" s="58">
        <v>-509574.9</v>
      </c>
      <c r="C118" s="58">
        <v>-513759.4</v>
      </c>
      <c r="D118" s="58">
        <v>-518605.3</v>
      </c>
      <c r="E118" s="58">
        <v>-523986.9</v>
      </c>
      <c r="F118" s="58">
        <v>-529818.4</v>
      </c>
      <c r="G118" s="58">
        <v>-536039.80000000005</v>
      </c>
      <c r="H118" s="58">
        <v>-542608</v>
      </c>
      <c r="I118" s="58">
        <v>-549491.1</v>
      </c>
    </row>
    <row r="119" spans="1:25" x14ac:dyDescent="0.4">
      <c r="A119" s="58" t="s">
        <v>32</v>
      </c>
      <c r="B119" s="58">
        <v>-593760.5</v>
      </c>
      <c r="C119" s="58">
        <v>-598332.4</v>
      </c>
      <c r="D119" s="58">
        <v>-603572.30000000005</v>
      </c>
      <c r="E119" s="58">
        <v>-609355.4</v>
      </c>
      <c r="F119" s="58">
        <v>-615599.30000000005</v>
      </c>
      <c r="G119" s="58">
        <v>-622245.19999999995</v>
      </c>
      <c r="H119" s="58">
        <v>-629249.1</v>
      </c>
      <c r="I119" s="58">
        <v>-636576.9</v>
      </c>
    </row>
    <row r="120" spans="1:25" x14ac:dyDescent="0.4">
      <c r="A120" s="58" t="s">
        <v>33</v>
      </c>
      <c r="B120" s="58">
        <v>-896897</v>
      </c>
      <c r="C120" s="58">
        <v>-900142</v>
      </c>
      <c r="D120" s="58">
        <v>-904024</v>
      </c>
      <c r="E120" s="58">
        <v>-908434</v>
      </c>
      <c r="F120" s="58">
        <v>-913298</v>
      </c>
      <c r="G120" s="58">
        <v>-918560</v>
      </c>
      <c r="H120" s="58">
        <v>-924180</v>
      </c>
      <c r="I120" s="58">
        <v>-930125</v>
      </c>
    </row>
    <row r="121" spans="1:25" x14ac:dyDescent="0.4">
      <c r="A121" s="58" t="s">
        <v>34</v>
      </c>
      <c r="B121" s="58">
        <v>-113728.4</v>
      </c>
      <c r="C121" s="58">
        <v>-118294.1</v>
      </c>
      <c r="D121" s="58">
        <v>-123523.3</v>
      </c>
      <c r="E121" s="58">
        <v>-129301.9</v>
      </c>
      <c r="F121" s="58">
        <v>-135557.20000000001</v>
      </c>
      <c r="G121" s="58">
        <v>-142240.20000000001</v>
      </c>
      <c r="H121" s="58">
        <v>-149310.70000000001</v>
      </c>
      <c r="I121" s="58">
        <v>-156729</v>
      </c>
    </row>
    <row r="124" spans="1:25" x14ac:dyDescent="0.4">
      <c r="A124" s="66" t="s">
        <v>228</v>
      </c>
      <c r="B124" s="66"/>
      <c r="C124" s="66"/>
      <c r="D124" s="66"/>
      <c r="E124" s="66"/>
      <c r="F124" s="66"/>
      <c r="G124" s="66"/>
      <c r="H124" s="66"/>
      <c r="I124" s="66"/>
      <c r="J124" s="66"/>
      <c r="L124" s="83" t="s">
        <v>229</v>
      </c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5" x14ac:dyDescent="0.4">
      <c r="A125" s="5" t="s">
        <v>19</v>
      </c>
      <c r="B125" s="5" t="s">
        <v>20</v>
      </c>
      <c r="C125" s="5">
        <v>300</v>
      </c>
      <c r="D125" s="5">
        <v>400</v>
      </c>
      <c r="E125" s="5">
        <v>500</v>
      </c>
      <c r="F125" s="5">
        <v>600</v>
      </c>
      <c r="G125" s="5">
        <v>700</v>
      </c>
      <c r="H125" s="5">
        <v>800</v>
      </c>
      <c r="I125" s="5">
        <v>900</v>
      </c>
      <c r="J125" s="5">
        <v>1000</v>
      </c>
      <c r="L125" s="5" t="s">
        <v>19</v>
      </c>
      <c r="M125" s="5" t="s">
        <v>20</v>
      </c>
      <c r="N125" s="5">
        <v>300</v>
      </c>
      <c r="O125" s="5">
        <v>400</v>
      </c>
      <c r="P125" s="5">
        <v>500</v>
      </c>
      <c r="Q125" s="5">
        <v>600</v>
      </c>
      <c r="R125" s="5">
        <v>700</v>
      </c>
      <c r="S125" s="5">
        <v>800</v>
      </c>
      <c r="T125" s="5">
        <v>900</v>
      </c>
      <c r="U125" s="5">
        <v>1000</v>
      </c>
    </row>
    <row r="126" spans="1:25" ht="15.75" x14ac:dyDescent="0.4">
      <c r="A126" s="5" t="s">
        <v>9</v>
      </c>
      <c r="B126" s="5" t="s">
        <v>0</v>
      </c>
      <c r="C126" s="58">
        <f>N126+3/4*B117+1/4*B121</f>
        <v>-441087.45899999992</v>
      </c>
      <c r="D126" s="58">
        <f>O126+3/4*C117+1/4*C121</f>
        <v>-445254.27500000008</v>
      </c>
      <c r="E126" s="58">
        <f t="shared" ref="E126:I126" si="28">P126+3/4*D117+1/4*D121</f>
        <v>-450099.37700000004</v>
      </c>
      <c r="F126" s="58">
        <f t="shared" si="28"/>
        <v>-453930.85499999992</v>
      </c>
      <c r="G126" s="58">
        <f t="shared" si="28"/>
        <v>-461212.91400000005</v>
      </c>
      <c r="H126" s="58">
        <f t="shared" si="28"/>
        <v>-465953.62200000003</v>
      </c>
      <c r="I126" s="58">
        <f t="shared" si="28"/>
        <v>-471788.91100000002</v>
      </c>
      <c r="J126" s="58">
        <f>U126+3/4*I117+1/4*I121</f>
        <v>-477647.68800000002</v>
      </c>
      <c r="L126" s="5" t="s">
        <v>9</v>
      </c>
      <c r="M126" s="5" t="s">
        <v>0</v>
      </c>
      <c r="N126" s="58">
        <v>-14542.534</v>
      </c>
      <c r="O126" s="58">
        <v>-14793.525</v>
      </c>
      <c r="P126" s="58">
        <v>-15065.677</v>
      </c>
      <c r="Q126" s="58">
        <v>-13780.43</v>
      </c>
      <c r="R126" s="58">
        <v>-15476.564</v>
      </c>
      <c r="S126" s="58">
        <v>-14214.222</v>
      </c>
      <c r="T126" s="58">
        <v>-13669.311</v>
      </c>
      <c r="U126" s="58">
        <v>-12803.838</v>
      </c>
    </row>
    <row r="127" spans="1:25" x14ac:dyDescent="0.4">
      <c r="A127" s="5" t="s">
        <v>10</v>
      </c>
      <c r="B127" s="5" t="s">
        <v>1</v>
      </c>
      <c r="C127" s="58">
        <f>N127+1/2*B117+1/2*B121</f>
        <v>-345163.90399999998</v>
      </c>
      <c r="D127" s="58">
        <f t="shared" ref="D127:J127" si="29">O127+1/2*C117+1/2*C121</f>
        <v>-349157.65700000001</v>
      </c>
      <c r="E127" s="58">
        <f t="shared" si="29"/>
        <v>-353824.826</v>
      </c>
      <c r="F127" s="58">
        <f t="shared" si="29"/>
        <v>-358482.07400000002</v>
      </c>
      <c r="G127" s="58">
        <f t="shared" si="29"/>
        <v>-364835.179</v>
      </c>
      <c r="H127" s="58">
        <f t="shared" si="29"/>
        <v>-369950.74600000004</v>
      </c>
      <c r="I127" s="58">
        <f t="shared" si="29"/>
        <v>-376125.179</v>
      </c>
      <c r="J127" s="58">
        <f t="shared" si="29"/>
        <v>-382252.652</v>
      </c>
      <c r="L127" s="5" t="s">
        <v>10</v>
      </c>
      <c r="M127" s="5" t="s">
        <v>1</v>
      </c>
      <c r="N127" s="58">
        <v>-22891.153999999999</v>
      </c>
      <c r="O127" s="58">
        <v>-22752.456999999999</v>
      </c>
      <c r="P127" s="58">
        <v>-22627.925999999999</v>
      </c>
      <c r="Q127" s="58">
        <v>-21947.824000000001</v>
      </c>
      <c r="R127" s="58">
        <v>-22491.879000000001</v>
      </c>
      <c r="S127" s="58">
        <v>-21377.745999999999</v>
      </c>
      <c r="T127" s="58">
        <v>-20941.879000000001</v>
      </c>
      <c r="U127" s="58">
        <v>-20113.752</v>
      </c>
    </row>
    <row r="128" spans="1:25" ht="15.75" x14ac:dyDescent="0.4">
      <c r="A128" s="5" t="s">
        <v>62</v>
      </c>
      <c r="B128" s="5" t="s">
        <v>2</v>
      </c>
      <c r="C128" s="58">
        <f>N128+2/3*B118+1/3*B121</f>
        <v>-412643.10966666666</v>
      </c>
      <c r="D128" s="58">
        <f t="shared" ref="D128:J128" si="30">O128+2/3*C118+1/3*C121</f>
        <v>-416752.88733333338</v>
      </c>
      <c r="E128" s="58">
        <f t="shared" si="30"/>
        <v>-419664.99099999998</v>
      </c>
      <c r="F128" s="58">
        <f t="shared" si="30"/>
        <v>-425587.90933333326</v>
      </c>
      <c r="G128" s="58">
        <f t="shared" si="30"/>
        <v>-430261.61</v>
      </c>
      <c r="H128" s="58">
        <f>S128+2/3*G118+1/3*G121</f>
        <v>-435542.73166666675</v>
      </c>
      <c r="I128" s="58">
        <f t="shared" si="30"/>
        <v>-441680.69999999995</v>
      </c>
      <c r="J128" s="58">
        <f t="shared" si="30"/>
        <v>-447342.52099999995</v>
      </c>
      <c r="L128" s="5" t="s">
        <v>62</v>
      </c>
      <c r="M128" s="5" t="s">
        <v>2</v>
      </c>
      <c r="N128" s="61">
        <v>-35017.042999999998</v>
      </c>
      <c r="O128" s="61">
        <v>-34815.254000000001</v>
      </c>
      <c r="P128" s="61">
        <v>-32753.690999999999</v>
      </c>
      <c r="Q128" s="61">
        <v>-33162.675999999999</v>
      </c>
      <c r="R128" s="61">
        <v>-31863.61</v>
      </c>
      <c r="S128" s="61">
        <v>-30769.465</v>
      </c>
      <c r="T128" s="61">
        <v>-30171.8</v>
      </c>
      <c r="U128" s="61">
        <v>-28772.120999999999</v>
      </c>
    </row>
    <row r="129" spans="1:21" ht="15.75" x14ac:dyDescent="0.4">
      <c r="A129" s="5" t="s">
        <v>63</v>
      </c>
      <c r="B129" s="5" t="s">
        <v>3</v>
      </c>
      <c r="C129" s="58">
        <f>N129+3/4*B118+1/4*B121</f>
        <v>-450417.58500000002</v>
      </c>
      <c r="D129" s="58">
        <f t="shared" ref="D129:J129" si="31">O129+3/4*C118+1/4*C121</f>
        <v>-453421.38500000007</v>
      </c>
      <c r="E129" s="58">
        <f t="shared" si="31"/>
        <v>-458313.663</v>
      </c>
      <c r="F129" s="58">
        <f t="shared" si="31"/>
        <v>-462103.81400000001</v>
      </c>
      <c r="G129" s="58">
        <f t="shared" si="31"/>
        <v>-467705.00200000004</v>
      </c>
      <c r="H129" s="58">
        <f t="shared" si="31"/>
        <v>-474077.64200000005</v>
      </c>
      <c r="I129" s="58">
        <f t="shared" si="31"/>
        <v>-479363.92099999997</v>
      </c>
      <c r="J129" s="58">
        <f t="shared" si="31"/>
        <v>-484941.23099999997</v>
      </c>
      <c r="L129" s="5" t="s">
        <v>63</v>
      </c>
      <c r="M129" s="5" t="s">
        <v>3</v>
      </c>
      <c r="N129" s="61">
        <v>-39804.31</v>
      </c>
      <c r="O129" s="61">
        <v>-38528.31</v>
      </c>
      <c r="P129" s="61">
        <v>-38478.862999999998</v>
      </c>
      <c r="Q129" s="61">
        <v>-36788.163999999997</v>
      </c>
      <c r="R129" s="61">
        <v>-36451.902000000002</v>
      </c>
      <c r="S129" s="61">
        <v>-36487.741999999998</v>
      </c>
      <c r="T129" s="61">
        <v>-35080.245999999999</v>
      </c>
      <c r="U129" s="61">
        <v>-33640.656000000003</v>
      </c>
    </row>
    <row r="130" spans="1:21" x14ac:dyDescent="0.4">
      <c r="A130" s="5" t="s">
        <v>13</v>
      </c>
      <c r="B130" s="5" t="s">
        <v>4</v>
      </c>
      <c r="C130" s="58">
        <f>N130+1/2*B118+1/2*B121</f>
        <v>-359714.06800000003</v>
      </c>
      <c r="D130" s="58">
        <f t="shared" ref="D130:J130" si="32">O130+1/2*C118+1/2*C121</f>
        <v>-361587.77299999999</v>
      </c>
      <c r="E130" s="58">
        <f t="shared" si="32"/>
        <v>-366718.18700000003</v>
      </c>
      <c r="F130" s="58">
        <f t="shared" si="32"/>
        <v>-370851.85000000003</v>
      </c>
      <c r="G130" s="58">
        <f t="shared" si="32"/>
        <v>-377332.37</v>
      </c>
      <c r="H130" s="58">
        <f t="shared" si="32"/>
        <v>-383816.79000000004</v>
      </c>
      <c r="I130" s="58">
        <f t="shared" si="32"/>
        <v>-390439.31000000006</v>
      </c>
      <c r="J130" s="58">
        <f t="shared" si="32"/>
        <v>-396949.71399999998</v>
      </c>
      <c r="L130" s="5" t="s">
        <v>13</v>
      </c>
      <c r="M130" s="5" t="s">
        <v>4</v>
      </c>
      <c r="N130" s="58">
        <v>-48062.417999999998</v>
      </c>
      <c r="O130" s="58">
        <v>-45561.023000000001</v>
      </c>
      <c r="P130" s="58">
        <v>-45653.887000000002</v>
      </c>
      <c r="Q130" s="58">
        <v>-44207.45</v>
      </c>
      <c r="R130" s="58">
        <v>-44644.57</v>
      </c>
      <c r="S130" s="58">
        <v>-44676.79</v>
      </c>
      <c r="T130" s="58">
        <v>-44479.96</v>
      </c>
      <c r="U130" s="58">
        <v>-43839.663999999997</v>
      </c>
    </row>
    <row r="131" spans="1:21" ht="15.75" x14ac:dyDescent="0.4">
      <c r="A131" s="5" t="s">
        <v>14</v>
      </c>
      <c r="B131" s="5" t="s">
        <v>5</v>
      </c>
      <c r="C131" s="58">
        <f>N131+1/3*B118+2/3*B121</f>
        <v>-287743.24133333331</v>
      </c>
      <c r="D131" s="58">
        <f t="shared" ref="D131:J131" si="33">O131+1/3*C118+2/3*C121</f>
        <v>-290157.37466666667</v>
      </c>
      <c r="E131" s="58">
        <f t="shared" si="33"/>
        <v>-294954.82299999997</v>
      </c>
      <c r="F131" s="58">
        <f t="shared" si="33"/>
        <v>-299256.15266666666</v>
      </c>
      <c r="G131" s="58">
        <f t="shared" si="33"/>
        <v>-304925.78399999999</v>
      </c>
      <c r="H131" s="58">
        <f t="shared" si="33"/>
        <v>-310894.71333333338</v>
      </c>
      <c r="I131" s="58">
        <f t="shared" si="33"/>
        <v>-315864.10499999998</v>
      </c>
      <c r="J131" s="58">
        <f t="shared" si="33"/>
        <v>-322085.67</v>
      </c>
      <c r="L131" s="5" t="s">
        <v>14</v>
      </c>
      <c r="M131" s="5" t="s">
        <v>5</v>
      </c>
      <c r="N131" s="58">
        <v>-42066.008000000002</v>
      </c>
      <c r="O131" s="58">
        <v>-40041.508000000002</v>
      </c>
      <c r="P131" s="58">
        <v>-39737.523000000001</v>
      </c>
      <c r="Q131" s="58">
        <v>-38392.586000000003</v>
      </c>
      <c r="R131" s="58">
        <v>-37948.184000000001</v>
      </c>
      <c r="S131" s="58">
        <v>-37387.980000000003</v>
      </c>
      <c r="T131" s="58">
        <v>-35454.305</v>
      </c>
      <c r="U131" s="58">
        <v>-34435.97</v>
      </c>
    </row>
    <row r="132" spans="1:21" ht="15.75" x14ac:dyDescent="0.4">
      <c r="A132" s="5" t="s">
        <v>15</v>
      </c>
      <c r="B132" s="5" t="s">
        <v>6</v>
      </c>
      <c r="C132" s="58">
        <f>N132+3/4*B119+1/4*B121</f>
        <v>-501710.80699999997</v>
      </c>
      <c r="D132" s="58">
        <f t="shared" ref="D132:J132" si="34">O132+3/4*C119+1/4*C121</f>
        <v>-507555.75100000005</v>
      </c>
      <c r="E132" s="58">
        <f t="shared" si="34"/>
        <v>-512527.43700000003</v>
      </c>
      <c r="F132" s="58">
        <f t="shared" si="34"/>
        <v>-518244.71600000001</v>
      </c>
      <c r="G132" s="58">
        <f t="shared" si="34"/>
        <v>-525747.96300000011</v>
      </c>
      <c r="H132" s="58">
        <f t="shared" si="34"/>
        <v>-532555.45600000001</v>
      </c>
      <c r="I132" s="58">
        <f t="shared" si="34"/>
        <v>-538394.348</v>
      </c>
      <c r="J132" s="58">
        <f t="shared" si="34"/>
        <v>-544952.29600000009</v>
      </c>
      <c r="L132" s="5" t="s">
        <v>15</v>
      </c>
      <c r="M132" s="5" t="s">
        <v>6</v>
      </c>
      <c r="N132" s="58">
        <v>-27958.331999999999</v>
      </c>
      <c r="O132" s="58">
        <v>-29232.925999999999</v>
      </c>
      <c r="P132" s="58">
        <v>-28967.386999999999</v>
      </c>
      <c r="Q132" s="58">
        <v>-28902.690999999999</v>
      </c>
      <c r="R132" s="58">
        <v>-30159.187999999998</v>
      </c>
      <c r="S132" s="58">
        <v>-30311.506000000001</v>
      </c>
      <c r="T132" s="58">
        <v>-29129.848000000002</v>
      </c>
      <c r="U132" s="58">
        <v>-28337.370999999999</v>
      </c>
    </row>
    <row r="133" spans="1:21" x14ac:dyDescent="0.4">
      <c r="A133" s="5" t="s">
        <v>16</v>
      </c>
      <c r="B133" s="5" t="s">
        <v>7</v>
      </c>
      <c r="C133" s="58">
        <f>N133+1/2*B119+1/2*B121</f>
        <v>-398730.3</v>
      </c>
      <c r="D133" s="58">
        <f t="shared" ref="D133:J133" si="35">O133+1/2*C119+1/2*C121</f>
        <v>-404351.516</v>
      </c>
      <c r="E133" s="58">
        <f t="shared" si="35"/>
        <v>-411016.39400000003</v>
      </c>
      <c r="F133" s="58">
        <f t="shared" si="35"/>
        <v>-415684.44700000004</v>
      </c>
      <c r="G133" s="58">
        <f t="shared" si="35"/>
        <v>-423046.91399999999</v>
      </c>
      <c r="H133" s="58">
        <f t="shared" si="35"/>
        <v>-431571.29399999999</v>
      </c>
      <c r="I133" s="58">
        <f t="shared" si="35"/>
        <v>-438576.65799999994</v>
      </c>
      <c r="J133" s="58">
        <f t="shared" si="35"/>
        <v>-447063.96600000001</v>
      </c>
      <c r="L133" s="5" t="s">
        <v>16</v>
      </c>
      <c r="M133" s="5" t="s">
        <v>7</v>
      </c>
      <c r="N133" s="58">
        <v>-44985.85</v>
      </c>
      <c r="O133" s="58">
        <v>-46038.266000000003</v>
      </c>
      <c r="P133" s="58">
        <v>-47468.593999999997</v>
      </c>
      <c r="Q133" s="58">
        <v>-46355.796999999999</v>
      </c>
      <c r="R133" s="58">
        <v>-47468.663999999997</v>
      </c>
      <c r="S133" s="58">
        <v>-49328.593999999997</v>
      </c>
      <c r="T133" s="58">
        <v>-49296.758000000002</v>
      </c>
      <c r="U133" s="58">
        <v>-50411.016000000003</v>
      </c>
    </row>
    <row r="134" spans="1:21" ht="15.75" x14ac:dyDescent="0.4">
      <c r="A134" s="5" t="s">
        <v>17</v>
      </c>
      <c r="B134" s="5" t="s">
        <v>8</v>
      </c>
      <c r="C134" s="58">
        <f>N134+1/4*B120+3/4*B121</f>
        <v>-329709.50699999998</v>
      </c>
      <c r="D134" s="58">
        <f t="shared" ref="D134:J134" si="36">O134+1/4*C120+3/4*C121</f>
        <v>-335456.09299999999</v>
      </c>
      <c r="E134" s="58">
        <f t="shared" si="36"/>
        <v>-342693.58799999999</v>
      </c>
      <c r="F134" s="58">
        <f t="shared" si="36"/>
        <v>-346660.86099999998</v>
      </c>
      <c r="G134" s="58">
        <f t="shared" si="36"/>
        <v>-353934.26699999999</v>
      </c>
      <c r="H134" s="58">
        <f t="shared" si="36"/>
        <v>-360153.00200000004</v>
      </c>
      <c r="I134" s="58">
        <f t="shared" si="36"/>
        <v>-367605.51500000001</v>
      </c>
      <c r="J134" s="58">
        <f t="shared" si="36"/>
        <v>-374415.40399999998</v>
      </c>
      <c r="L134" s="5" t="s">
        <v>17</v>
      </c>
      <c r="M134" s="5" t="s">
        <v>8</v>
      </c>
      <c r="N134" s="58">
        <v>-20188.956999999999</v>
      </c>
      <c r="O134" s="58">
        <v>-21700.018</v>
      </c>
      <c r="P134" s="58">
        <v>-24045.113000000001</v>
      </c>
      <c r="Q134" s="58">
        <v>-22575.936000000002</v>
      </c>
      <c r="R134" s="58">
        <v>-23941.866999999998</v>
      </c>
      <c r="S134" s="58">
        <v>-23832.851999999999</v>
      </c>
      <c r="T134" s="58">
        <v>-24577.49</v>
      </c>
      <c r="U134" s="58">
        <v>-24337.403999999999</v>
      </c>
    </row>
    <row r="141" spans="1:21" x14ac:dyDescent="0.4">
      <c r="A141" s="7"/>
      <c r="L141" s="81" t="s">
        <v>230</v>
      </c>
      <c r="M141" s="82"/>
      <c r="N141" s="82"/>
      <c r="O141" s="82"/>
      <c r="P141" s="82"/>
      <c r="Q141" s="82"/>
      <c r="R141" s="82"/>
      <c r="S141" s="82"/>
      <c r="T141" s="82"/>
      <c r="U141" s="82"/>
    </row>
    <row r="142" spans="1:21" x14ac:dyDescent="0.4">
      <c r="L142" s="5" t="s">
        <v>18</v>
      </c>
      <c r="M142" s="5" t="s">
        <v>20</v>
      </c>
      <c r="N142" s="5" t="s">
        <v>43</v>
      </c>
      <c r="O142" s="5" t="s">
        <v>44</v>
      </c>
      <c r="P142" s="5" t="s">
        <v>45</v>
      </c>
      <c r="Q142" s="5" t="s">
        <v>46</v>
      </c>
      <c r="R142" s="5" t="s">
        <v>47</v>
      </c>
      <c r="S142" s="5" t="s">
        <v>48</v>
      </c>
      <c r="T142" s="5" t="s">
        <v>49</v>
      </c>
      <c r="U142" s="5" t="s">
        <v>50</v>
      </c>
    </row>
    <row r="143" spans="1:21" ht="15.75" x14ac:dyDescent="0.4">
      <c r="C143" s="6"/>
      <c r="D143" s="6"/>
      <c r="E143" s="6"/>
      <c r="F143" s="6"/>
      <c r="G143" s="6"/>
      <c r="H143" s="6"/>
      <c r="I143" s="6"/>
      <c r="J143" s="6"/>
      <c r="L143" s="5" t="s">
        <v>9</v>
      </c>
      <c r="M143" s="5" t="s">
        <v>0</v>
      </c>
      <c r="N143" s="5">
        <v>-15977.8</v>
      </c>
      <c r="O143" s="5">
        <v>-13956.5</v>
      </c>
      <c r="P143" s="5">
        <v>-12642.2</v>
      </c>
      <c r="Q143" s="5">
        <v>-12461.5</v>
      </c>
      <c r="R143" s="5">
        <v>-12014.3</v>
      </c>
      <c r="S143" s="5">
        <v>-11355.2</v>
      </c>
      <c r="T143" s="5">
        <v>-10165.6</v>
      </c>
      <c r="U143" s="5">
        <v>-7943.11</v>
      </c>
    </row>
    <row r="144" spans="1:21" x14ac:dyDescent="0.4">
      <c r="C144" s="6"/>
      <c r="D144" s="6"/>
      <c r="E144" s="6"/>
      <c r="F144" s="6"/>
      <c r="G144" s="6"/>
      <c r="H144" s="6"/>
      <c r="I144" s="6"/>
      <c r="J144" s="6"/>
      <c r="L144" s="5" t="s">
        <v>10</v>
      </c>
      <c r="M144" s="5" t="s">
        <v>1</v>
      </c>
      <c r="N144" s="5">
        <v>-22430</v>
      </c>
      <c r="O144" s="5">
        <v>-22313.200000000001</v>
      </c>
      <c r="P144" s="5">
        <v>-22352.9</v>
      </c>
      <c r="Q144" s="5">
        <v>-20139.7</v>
      </c>
      <c r="R144" s="5">
        <v>-20039.3</v>
      </c>
      <c r="S144" s="5">
        <v>-18905.5</v>
      </c>
      <c r="T144" s="5">
        <v>-17492.400000000001</v>
      </c>
      <c r="U144" s="5">
        <v>-15340.3</v>
      </c>
    </row>
    <row r="145" spans="1:21" ht="15.75" x14ac:dyDescent="0.4">
      <c r="C145" s="6"/>
      <c r="D145" s="6"/>
      <c r="E145" s="6"/>
      <c r="F145" s="6"/>
      <c r="G145" s="6"/>
      <c r="H145" s="6"/>
      <c r="I145" s="6"/>
      <c r="J145" s="6"/>
      <c r="L145" s="5" t="s">
        <v>62</v>
      </c>
      <c r="M145" s="5" t="s">
        <v>2</v>
      </c>
      <c r="N145" s="5">
        <v>-35861.5</v>
      </c>
      <c r="O145" s="5">
        <v>-32524</v>
      </c>
      <c r="P145" s="5">
        <v>-31414.2</v>
      </c>
      <c r="Q145" s="5">
        <v>-33477.300000000003</v>
      </c>
      <c r="R145" s="5">
        <v>-31688.2</v>
      </c>
      <c r="S145" s="5">
        <v>-30240.1</v>
      </c>
      <c r="T145" s="5">
        <v>-30818</v>
      </c>
      <c r="U145" s="5">
        <v>-29418.5</v>
      </c>
    </row>
    <row r="146" spans="1:21" ht="15.75" x14ac:dyDescent="0.4">
      <c r="C146" s="6"/>
      <c r="D146" s="6"/>
      <c r="E146" s="6"/>
      <c r="F146" s="6"/>
      <c r="G146" s="6"/>
      <c r="H146" s="6"/>
      <c r="I146" s="6"/>
      <c r="J146" s="6"/>
      <c r="L146" s="5" t="s">
        <v>63</v>
      </c>
      <c r="M146" s="5" t="s">
        <v>3</v>
      </c>
      <c r="N146" s="5">
        <v>-38429.199999999997</v>
      </c>
      <c r="O146" s="5">
        <v>-39091.199999999997</v>
      </c>
      <c r="P146" s="5">
        <v>-38484.300000000003</v>
      </c>
      <c r="Q146" s="5">
        <v>-38744.1</v>
      </c>
      <c r="R146" s="5">
        <v>-37463.1</v>
      </c>
      <c r="S146" s="5">
        <v>-35948.9</v>
      </c>
      <c r="T146" s="5">
        <v>-35334.300000000003</v>
      </c>
      <c r="U146" s="5">
        <v>-35094.199999999997</v>
      </c>
    </row>
    <row r="147" spans="1:21" x14ac:dyDescent="0.4">
      <c r="C147" s="6"/>
      <c r="D147" s="6"/>
      <c r="E147" s="6"/>
      <c r="F147" s="6"/>
      <c r="G147" s="6"/>
      <c r="H147" s="6"/>
      <c r="I147" s="6"/>
      <c r="J147" s="6"/>
      <c r="L147" s="5" t="s">
        <v>13</v>
      </c>
      <c r="M147" s="5" t="s">
        <v>4</v>
      </c>
      <c r="N147" s="5">
        <v>-46619.9</v>
      </c>
      <c r="O147" s="5">
        <v>-44265.7</v>
      </c>
      <c r="P147" s="5">
        <v>-43876.3</v>
      </c>
      <c r="Q147" s="5">
        <v>-46254.9</v>
      </c>
      <c r="R147" s="5">
        <v>-44248.2</v>
      </c>
      <c r="S147" s="5">
        <v>-42882.8</v>
      </c>
      <c r="T147" s="5">
        <v>-43837.1</v>
      </c>
      <c r="U147" s="5">
        <v>-44206.8</v>
      </c>
    </row>
    <row r="148" spans="1:21" ht="15.75" x14ac:dyDescent="0.4">
      <c r="C148" s="6"/>
      <c r="D148" s="6"/>
      <c r="E148" s="6"/>
      <c r="F148" s="6"/>
      <c r="G148" s="6"/>
      <c r="H148" s="6"/>
      <c r="I148" s="6"/>
      <c r="J148" s="6"/>
      <c r="L148" s="5" t="s">
        <v>14</v>
      </c>
      <c r="M148" s="5" t="s">
        <v>5</v>
      </c>
      <c r="N148" s="5">
        <v>-40251.699999999997</v>
      </c>
      <c r="O148" s="5">
        <v>-37673.199999999997</v>
      </c>
      <c r="P148" s="5">
        <v>-36795</v>
      </c>
      <c r="Q148" s="5">
        <v>-37718.800000000003</v>
      </c>
      <c r="R148" s="5">
        <v>-36053.800000000003</v>
      </c>
      <c r="S148" s="5">
        <v>-34761</v>
      </c>
      <c r="T148" s="5">
        <v>-34912</v>
      </c>
      <c r="U148" s="5">
        <v>-33329.9</v>
      </c>
    </row>
    <row r="149" spans="1:21" ht="15.75" x14ac:dyDescent="0.4">
      <c r="C149" s="6"/>
      <c r="D149" s="6"/>
      <c r="E149" s="6"/>
      <c r="F149" s="6"/>
      <c r="G149" s="6"/>
      <c r="H149" s="6"/>
      <c r="I149" s="6"/>
      <c r="J149" s="6"/>
      <c r="L149" s="5" t="s">
        <v>15</v>
      </c>
      <c r="M149" s="5" t="s">
        <v>6</v>
      </c>
      <c r="N149" s="5">
        <v>-30726.400000000001</v>
      </c>
      <c r="O149" s="5">
        <v>-29796.6</v>
      </c>
      <c r="P149" s="5">
        <v>-29431.9</v>
      </c>
      <c r="Q149" s="5">
        <v>-25965.8</v>
      </c>
      <c r="R149" s="5">
        <v>-26851</v>
      </c>
      <c r="S149" s="5">
        <v>-27247.7</v>
      </c>
      <c r="T149" s="5">
        <v>-25494.9</v>
      </c>
      <c r="U149" s="5">
        <v>-26229.200000000001</v>
      </c>
    </row>
    <row r="150" spans="1:21" x14ac:dyDescent="0.4">
      <c r="C150" s="6"/>
      <c r="D150" s="6"/>
      <c r="E150" s="6"/>
      <c r="F150" s="6"/>
      <c r="G150" s="6"/>
      <c r="H150" s="6"/>
      <c r="I150" s="6"/>
      <c r="J150" s="6"/>
      <c r="L150" s="5" t="s">
        <v>16</v>
      </c>
      <c r="M150" s="5" t="s">
        <v>7</v>
      </c>
      <c r="N150" s="5">
        <v>-47233.5</v>
      </c>
      <c r="O150" s="5">
        <v>-44393.1</v>
      </c>
      <c r="P150" s="5">
        <v>-44628.1</v>
      </c>
      <c r="Q150" s="5">
        <v>-44575.9</v>
      </c>
      <c r="R150" s="5">
        <v>-44423.5</v>
      </c>
      <c r="S150" s="5">
        <v>-44530.3</v>
      </c>
      <c r="T150" s="5">
        <v>-43713.9</v>
      </c>
      <c r="U150" s="5">
        <v>-45406.5</v>
      </c>
    </row>
    <row r="151" spans="1:21" ht="15.75" x14ac:dyDescent="0.4">
      <c r="C151" s="6"/>
      <c r="D151" s="6"/>
      <c r="E151" s="6"/>
      <c r="F151" s="6"/>
      <c r="G151" s="6"/>
      <c r="H151" s="6"/>
      <c r="I151" s="6"/>
      <c r="J151" s="6"/>
      <c r="L151" s="5" t="s">
        <v>17</v>
      </c>
      <c r="M151" s="5" t="s">
        <v>42</v>
      </c>
      <c r="N151" s="5">
        <v>-25703.8</v>
      </c>
      <c r="O151" s="5">
        <v>-25376.5</v>
      </c>
      <c r="P151" s="5">
        <v>-23959.599999999999</v>
      </c>
      <c r="Q151" s="5">
        <v>-23839.5</v>
      </c>
      <c r="R151" s="5">
        <v>-23831.599999999999</v>
      </c>
      <c r="S151" s="5">
        <v>-23870.9</v>
      </c>
      <c r="T151" s="5">
        <v>-22188.7</v>
      </c>
      <c r="U151" s="5">
        <v>-21640.3</v>
      </c>
    </row>
    <row r="156" spans="1:21" x14ac:dyDescent="0.4">
      <c r="A156" s="66" t="s">
        <v>231</v>
      </c>
      <c r="B156" s="66"/>
      <c r="C156" s="66"/>
      <c r="D156" s="66"/>
      <c r="E156" s="66"/>
      <c r="F156" s="66"/>
      <c r="G156" s="66"/>
      <c r="H156" s="66"/>
      <c r="I156" s="66"/>
      <c r="J156" s="66"/>
      <c r="L156" s="83" t="s">
        <v>232</v>
      </c>
      <c r="M156" s="82"/>
      <c r="N156" s="82"/>
      <c r="O156" s="82"/>
      <c r="P156" s="82"/>
      <c r="Q156" s="82"/>
      <c r="R156" s="82"/>
      <c r="S156" s="82"/>
      <c r="T156" s="82"/>
      <c r="U156" s="82"/>
    </row>
    <row r="157" spans="1:21" x14ac:dyDescent="0.4">
      <c r="A157" s="58" t="s">
        <v>18</v>
      </c>
      <c r="B157" s="58" t="s">
        <v>35</v>
      </c>
      <c r="C157" s="58" t="s">
        <v>43</v>
      </c>
      <c r="D157" s="58" t="s">
        <v>44</v>
      </c>
      <c r="E157" s="58" t="s">
        <v>45</v>
      </c>
      <c r="F157" s="58" t="s">
        <v>46</v>
      </c>
      <c r="G157" s="58" t="s">
        <v>47</v>
      </c>
      <c r="H157" s="58" t="s">
        <v>48</v>
      </c>
      <c r="I157" s="58" t="s">
        <v>49</v>
      </c>
      <c r="J157" s="58" t="s">
        <v>50</v>
      </c>
      <c r="L157" s="5" t="s">
        <v>18</v>
      </c>
      <c r="M157" s="5" t="s">
        <v>20</v>
      </c>
      <c r="N157" s="5" t="s">
        <v>43</v>
      </c>
      <c r="O157" s="5" t="s">
        <v>44</v>
      </c>
      <c r="P157" s="5" t="s">
        <v>45</v>
      </c>
      <c r="Q157" s="5" t="s">
        <v>46</v>
      </c>
      <c r="R157" s="5" t="s">
        <v>47</v>
      </c>
      <c r="S157" s="5" t="s">
        <v>48</v>
      </c>
      <c r="T157" s="5" t="s">
        <v>49</v>
      </c>
      <c r="U157" s="5" t="s">
        <v>50</v>
      </c>
    </row>
    <row r="158" spans="1:21" ht="15.75" x14ac:dyDescent="0.4">
      <c r="A158" s="58" t="s">
        <v>36</v>
      </c>
      <c r="B158" s="58" t="s">
        <v>0</v>
      </c>
      <c r="C158" s="58">
        <f>N158+3/4*B117+1/4*B121</f>
        <v>-441092.05199999991</v>
      </c>
      <c r="D158" s="58">
        <f t="shared" ref="D158:J158" si="37">O158+3/4*C117+1/4*C121</f>
        <v>-443439.91400000005</v>
      </c>
      <c r="E158" s="58">
        <f t="shared" si="37"/>
        <v>-446865.67200000002</v>
      </c>
      <c r="F158" s="58">
        <f t="shared" si="37"/>
        <v>-452189.44999999995</v>
      </c>
      <c r="G158" s="58">
        <f t="shared" si="37"/>
        <v>-457806.83500000002</v>
      </c>
      <c r="H158" s="58">
        <f t="shared" si="37"/>
        <v>-464110.30800000002</v>
      </c>
      <c r="I158" s="58">
        <f t="shared" si="37"/>
        <v>-470863.45500000002</v>
      </c>
      <c r="J158" s="58">
        <f t="shared" si="37"/>
        <v>-474598.34800000006</v>
      </c>
      <c r="L158" s="5" t="s">
        <v>9</v>
      </c>
      <c r="M158" s="5" t="s">
        <v>0</v>
      </c>
      <c r="N158" s="5">
        <v>-14547.127</v>
      </c>
      <c r="O158" s="5">
        <v>-12979.164000000001</v>
      </c>
      <c r="P158" s="5">
        <v>-11831.972</v>
      </c>
      <c r="Q158" s="5">
        <v>-12039.025</v>
      </c>
      <c r="R158" s="5">
        <v>-12070.485000000001</v>
      </c>
      <c r="S158" s="5">
        <v>-12370.907999999999</v>
      </c>
      <c r="T158" s="5">
        <v>-12743.855</v>
      </c>
      <c r="U158" s="5">
        <v>-9754.4979999999996</v>
      </c>
    </row>
    <row r="159" spans="1:21" x14ac:dyDescent="0.4">
      <c r="A159" s="58" t="s">
        <v>10</v>
      </c>
      <c r="B159" s="58" t="s">
        <v>1</v>
      </c>
      <c r="C159" s="58">
        <f>N159+1/2*B117+1/2*B121</f>
        <v>-344775.88900000002</v>
      </c>
      <c r="D159" s="58">
        <f t="shared" ref="D159:J159" si="38">O159+1/2*C117+1/2*C121</f>
        <v>-347694.641</v>
      </c>
      <c r="E159" s="58">
        <f t="shared" si="38"/>
        <v>-350290.17000000004</v>
      </c>
      <c r="F159" s="58">
        <f t="shared" si="38"/>
        <v>-356431.723</v>
      </c>
      <c r="G159" s="58">
        <f t="shared" si="38"/>
        <v>-361880.25699999998</v>
      </c>
      <c r="H159" s="58">
        <f t="shared" si="38"/>
        <v>-368068.098</v>
      </c>
      <c r="I159" s="58">
        <f t="shared" si="38"/>
        <v>-374978.41300000006</v>
      </c>
      <c r="J159" s="58">
        <f t="shared" si="38"/>
        <v>-381180.42700000003</v>
      </c>
      <c r="L159" s="5" t="s">
        <v>10</v>
      </c>
      <c r="M159" s="5" t="s">
        <v>1</v>
      </c>
      <c r="N159" s="5">
        <v>-22503.138999999999</v>
      </c>
      <c r="O159" s="5">
        <v>-21289.440999999999</v>
      </c>
      <c r="P159" s="5">
        <v>-19093.27</v>
      </c>
      <c r="Q159" s="5">
        <v>-19897.473000000002</v>
      </c>
      <c r="R159" s="5">
        <v>-19536.956999999999</v>
      </c>
      <c r="S159" s="5">
        <v>-19495.098000000002</v>
      </c>
      <c r="T159" s="5">
        <v>-19795.113000000001</v>
      </c>
      <c r="U159" s="5">
        <v>-19041.526999999998</v>
      </c>
    </row>
    <row r="160" spans="1:21" ht="15.75" x14ac:dyDescent="0.4">
      <c r="A160" s="58" t="s">
        <v>38</v>
      </c>
      <c r="B160" s="58" t="s">
        <v>2</v>
      </c>
      <c r="C160" s="58">
        <f>N160+2/3*B118+1/3*B121</f>
        <v>-417286.98066666664</v>
      </c>
      <c r="D160" s="58">
        <f t="shared" ref="D160:J160" si="39">O160+2/3*C118+1/3*C121</f>
        <v>-420825.1333333333</v>
      </c>
      <c r="E160" s="58">
        <f t="shared" si="39"/>
        <v>-425650.636</v>
      </c>
      <c r="F160" s="58">
        <f t="shared" si="39"/>
        <v>-430463.14733333327</v>
      </c>
      <c r="G160" s="58">
        <f t="shared" si="39"/>
        <v>-435990.68800000002</v>
      </c>
      <c r="H160" s="58">
        <f t="shared" si="39"/>
        <v>-442110.16866666672</v>
      </c>
      <c r="I160" s="58">
        <f t="shared" si="39"/>
        <v>-448406.67</v>
      </c>
      <c r="J160" s="58">
        <f t="shared" si="39"/>
        <v>-453741.45499999996</v>
      </c>
      <c r="L160" s="5" t="s">
        <v>62</v>
      </c>
      <c r="M160" s="5" t="s">
        <v>2</v>
      </c>
      <c r="N160" s="62">
        <v>-39660.913999999997</v>
      </c>
      <c r="O160" s="5">
        <v>-38887.5</v>
      </c>
      <c r="P160" s="5">
        <v>-38739.336000000003</v>
      </c>
      <c r="Q160" s="5">
        <v>-38037.913999999997</v>
      </c>
      <c r="R160" s="5">
        <v>-37592.688000000002</v>
      </c>
      <c r="S160" s="5">
        <v>-37336.902000000002</v>
      </c>
      <c r="T160" s="5">
        <v>-36897.769999999997</v>
      </c>
      <c r="U160" s="5">
        <v>-35171.055</v>
      </c>
    </row>
    <row r="161" spans="1:21" ht="15.75" x14ac:dyDescent="0.4">
      <c r="A161" s="58" t="s">
        <v>37</v>
      </c>
      <c r="B161" s="58" t="s">
        <v>3</v>
      </c>
      <c r="C161" s="58">
        <f>N161+3/4*B118+1/4*B121</f>
        <v>-444688.43900000001</v>
      </c>
      <c r="D161" s="58">
        <f t="shared" ref="D161:J161" si="40">O161+3/4*C118+1/4*C121</f>
        <v>-448645.87200000009</v>
      </c>
      <c r="E161" s="58">
        <f t="shared" si="40"/>
        <v>-452919.37</v>
      </c>
      <c r="F161" s="58">
        <f t="shared" si="40"/>
        <v>-457299.88</v>
      </c>
      <c r="G161" s="58">
        <f t="shared" si="40"/>
        <v>-463386.68200000003</v>
      </c>
      <c r="H161" s="58">
        <f t="shared" si="40"/>
        <v>-469845.79500000004</v>
      </c>
      <c r="I161" s="58">
        <f t="shared" si="40"/>
        <v>-475532.07</v>
      </c>
      <c r="J161" s="58">
        <f t="shared" si="40"/>
        <v>-482027.55499999993</v>
      </c>
      <c r="L161" s="5" t="s">
        <v>63</v>
      </c>
      <c r="M161" s="5" t="s">
        <v>3</v>
      </c>
      <c r="N161" s="62">
        <v>-34075.163999999997</v>
      </c>
      <c r="O161" s="5">
        <v>-33752.796999999999</v>
      </c>
      <c r="P161" s="5">
        <v>-33084.57</v>
      </c>
      <c r="Q161" s="5">
        <v>-31984.23</v>
      </c>
      <c r="R161" s="5">
        <v>-32133.581999999999</v>
      </c>
      <c r="S161" s="5">
        <v>-32255.895</v>
      </c>
      <c r="T161" s="5">
        <v>-31248.395</v>
      </c>
      <c r="U161" s="5">
        <v>-30726.98</v>
      </c>
    </row>
    <row r="162" spans="1:21" x14ac:dyDescent="0.4">
      <c r="A162" s="58" t="s">
        <v>13</v>
      </c>
      <c r="B162" s="58" t="s">
        <v>4</v>
      </c>
      <c r="C162" s="58">
        <f>N162+1/2*B118+1/2*B121</f>
        <v>-354491.05000000005</v>
      </c>
      <c r="D162" s="58">
        <f t="shared" ref="D162:J162" si="41">O162+1/2*C118+1/2*C121</f>
        <v>-357838.55499999999</v>
      </c>
      <c r="E162" s="58">
        <f t="shared" si="41"/>
        <v>-362180.70200000005</v>
      </c>
      <c r="F162" s="58">
        <f t="shared" si="41"/>
        <v>-367802.55200000003</v>
      </c>
      <c r="G162" s="58">
        <f t="shared" si="41"/>
        <v>-373689.13600000006</v>
      </c>
      <c r="H162" s="58">
        <f t="shared" si="41"/>
        <v>-379565.16399999999</v>
      </c>
      <c r="I162" s="58">
        <f t="shared" si="41"/>
        <v>-386264.58999999997</v>
      </c>
      <c r="J162" s="58">
        <f t="shared" si="41"/>
        <v>-393088.495</v>
      </c>
      <c r="L162" s="5" t="s">
        <v>13</v>
      </c>
      <c r="M162" s="5" t="s">
        <v>4</v>
      </c>
      <c r="N162" s="5">
        <v>-42839.4</v>
      </c>
      <c r="O162" s="5">
        <v>-41811.805</v>
      </c>
      <c r="P162" s="5">
        <v>-41116.402000000002</v>
      </c>
      <c r="Q162" s="5">
        <v>-41158.152000000002</v>
      </c>
      <c r="R162" s="5">
        <v>-41001.336000000003</v>
      </c>
      <c r="S162" s="5">
        <v>-40425.163999999997</v>
      </c>
      <c r="T162" s="5">
        <v>-40305.24</v>
      </c>
      <c r="U162" s="5">
        <v>-39978.445</v>
      </c>
    </row>
    <row r="163" spans="1:21" ht="15.75" x14ac:dyDescent="0.4">
      <c r="A163" s="58" t="s">
        <v>39</v>
      </c>
      <c r="B163" s="58" t="s">
        <v>5</v>
      </c>
      <c r="C163" s="58">
        <f>N163+1/3*B118+2/3*B121</f>
        <v>-288628.21033333335</v>
      </c>
      <c r="D163" s="58">
        <f t="shared" ref="D163:J163" si="42">O163+1/3*C118+2/3*C121</f>
        <v>-291864.53066666669</v>
      </c>
      <c r="E163" s="58">
        <f t="shared" si="42"/>
        <v>-297133.75699999998</v>
      </c>
      <c r="F163" s="58">
        <f t="shared" si="42"/>
        <v>-300959.32466666668</v>
      </c>
      <c r="G163" s="58">
        <f t="shared" si="42"/>
        <v>-306081.03000000003</v>
      </c>
      <c r="H163" s="58">
        <f t="shared" si="42"/>
        <v>-312509.42833333334</v>
      </c>
      <c r="I163" s="58">
        <f t="shared" si="42"/>
        <v>-319281.18699999998</v>
      </c>
      <c r="J163" s="58">
        <f t="shared" si="42"/>
        <v>-325064.03599999996</v>
      </c>
      <c r="L163" s="5" t="s">
        <v>14</v>
      </c>
      <c r="M163" s="5" t="s">
        <v>5</v>
      </c>
      <c r="N163" s="5">
        <v>-42950.976999999999</v>
      </c>
      <c r="O163" s="5">
        <v>-41748.663999999997</v>
      </c>
      <c r="P163" s="5">
        <v>-41916.457000000002</v>
      </c>
      <c r="Q163" s="5">
        <v>-40095.758000000002</v>
      </c>
      <c r="R163" s="5">
        <v>-39103.43</v>
      </c>
      <c r="S163" s="5">
        <v>-39002.695</v>
      </c>
      <c r="T163" s="5">
        <v>-38871.387000000002</v>
      </c>
      <c r="U163" s="5">
        <v>-37414.336000000003</v>
      </c>
    </row>
    <row r="164" spans="1:21" ht="15.75" x14ac:dyDescent="0.4">
      <c r="A164" s="58" t="s">
        <v>40</v>
      </c>
      <c r="B164" s="58" t="s">
        <v>6</v>
      </c>
      <c r="C164" s="58">
        <f>N164+3/4*B119+1/4*B121</f>
        <v>-503333.50599999999</v>
      </c>
      <c r="D164" s="58">
        <f t="shared" ref="D164:J164" si="43">O164+3/4*C119+1/4*C121</f>
        <v>-507164.86200000008</v>
      </c>
      <c r="E164" s="58">
        <f t="shared" si="43"/>
        <v>-511106.85000000003</v>
      </c>
      <c r="F164" s="58">
        <f t="shared" si="43"/>
        <v>-515711.02900000004</v>
      </c>
      <c r="G164" s="58">
        <f t="shared" si="43"/>
        <v>-522500.31800000003</v>
      </c>
      <c r="H164" s="58">
        <f t="shared" si="43"/>
        <v>-529392.20400000003</v>
      </c>
      <c r="I164" s="58">
        <f t="shared" si="43"/>
        <v>-535708.1</v>
      </c>
      <c r="J164" s="58">
        <f t="shared" si="43"/>
        <v>-543044.571</v>
      </c>
      <c r="L164" s="5" t="s">
        <v>15</v>
      </c>
      <c r="M164" s="5" t="s">
        <v>6</v>
      </c>
      <c r="N164" s="5">
        <v>-29581.030999999999</v>
      </c>
      <c r="O164" s="5">
        <v>-28842.037</v>
      </c>
      <c r="P164" s="5">
        <v>-27546.799999999999</v>
      </c>
      <c r="Q164" s="5">
        <v>-26369.004000000001</v>
      </c>
      <c r="R164" s="5">
        <v>-26911.543000000001</v>
      </c>
      <c r="S164" s="5">
        <v>-27148.254000000001</v>
      </c>
      <c r="T164" s="5">
        <v>-26443.599999999999</v>
      </c>
      <c r="U164" s="5">
        <v>-26429.646000000001</v>
      </c>
    </row>
    <row r="165" spans="1:21" x14ac:dyDescent="0.4">
      <c r="A165" s="58" t="s">
        <v>16</v>
      </c>
      <c r="B165" s="58" t="s">
        <v>7</v>
      </c>
      <c r="C165" s="58">
        <f>N165+1/2*B119+1/2*B121</f>
        <v>-391754.84500000003</v>
      </c>
      <c r="D165" s="58">
        <f t="shared" ref="D165:J165" si="44">O165+1/2*C119+1/2*C121</f>
        <v>-396793.66</v>
      </c>
      <c r="E165" s="58">
        <f t="shared" si="44"/>
        <v>-401998.95000000007</v>
      </c>
      <c r="F165" s="58">
        <f t="shared" si="44"/>
        <v>-407529.76700000005</v>
      </c>
      <c r="G165" s="58">
        <f t="shared" si="44"/>
        <v>-413326.04300000006</v>
      </c>
      <c r="H165" s="58">
        <f t="shared" si="44"/>
        <v>-421351.23499999999</v>
      </c>
      <c r="I165" s="58">
        <f t="shared" si="44"/>
        <v>-431129.86</v>
      </c>
      <c r="J165" s="58">
        <f t="shared" si="44"/>
        <v>-437346.41000000003</v>
      </c>
      <c r="L165" s="5" t="s">
        <v>16</v>
      </c>
      <c r="M165" s="5" t="s">
        <v>7</v>
      </c>
      <c r="N165" s="5">
        <v>-38010.394999999997</v>
      </c>
      <c r="O165" s="5">
        <v>-38480.410000000003</v>
      </c>
      <c r="P165" s="5">
        <v>-38451.15</v>
      </c>
      <c r="Q165" s="5">
        <v>-38201.116999999998</v>
      </c>
      <c r="R165" s="5">
        <v>-37747.792999999998</v>
      </c>
      <c r="S165" s="5">
        <v>-39108.535000000003</v>
      </c>
      <c r="T165" s="5">
        <v>-41849.96</v>
      </c>
      <c r="U165" s="5">
        <v>-40693.46</v>
      </c>
    </row>
    <row r="166" spans="1:21" ht="15.75" x14ac:dyDescent="0.4">
      <c r="A166" s="58" t="s">
        <v>41</v>
      </c>
      <c r="B166" s="58" t="s">
        <v>42</v>
      </c>
      <c r="C166" s="58">
        <f>N166+1/4*B120+3/4*B121</f>
        <v>-331126.36599999998</v>
      </c>
      <c r="D166" s="58">
        <f t="shared" ref="D166:J166" si="45">O166+1/4*C120+3/4*C121</f>
        <v>-335237.51300000004</v>
      </c>
      <c r="E166" s="58">
        <f t="shared" si="45"/>
        <v>-341503.31099999999</v>
      </c>
      <c r="F166" s="58">
        <f t="shared" si="45"/>
        <v>-344758.353</v>
      </c>
      <c r="G166" s="58">
        <f t="shared" si="45"/>
        <v>-351345.31</v>
      </c>
      <c r="H166" s="58">
        <f t="shared" si="45"/>
        <v>-357995.39400000003</v>
      </c>
      <c r="I166" s="58">
        <f t="shared" si="45"/>
        <v>-363957.76500000001</v>
      </c>
      <c r="J166" s="58">
        <f t="shared" si="45"/>
        <v>-371435.97899999999</v>
      </c>
      <c r="L166" s="5" t="s">
        <v>17</v>
      </c>
      <c r="M166" s="5" t="s">
        <v>42</v>
      </c>
      <c r="N166" s="5">
        <v>-21605.815999999999</v>
      </c>
      <c r="O166" s="5">
        <v>-21481.437999999998</v>
      </c>
      <c r="P166" s="5">
        <v>-22854.835999999999</v>
      </c>
      <c r="Q166" s="5">
        <v>-20673.428</v>
      </c>
      <c r="R166" s="5">
        <v>-21352.91</v>
      </c>
      <c r="S166" s="5">
        <v>-21675.243999999999</v>
      </c>
      <c r="T166" s="5">
        <v>-20929.740000000002</v>
      </c>
      <c r="U166" s="5">
        <v>-21357.978999999999</v>
      </c>
    </row>
    <row r="170" spans="1:21" x14ac:dyDescent="0.4">
      <c r="A170" s="66" t="s">
        <v>233</v>
      </c>
      <c r="B170" s="66"/>
      <c r="C170" s="66"/>
      <c r="D170" s="66"/>
      <c r="E170" s="66"/>
      <c r="F170" s="66"/>
      <c r="G170" s="66"/>
      <c r="H170" s="66"/>
      <c r="I170" s="66"/>
      <c r="J170" s="66"/>
      <c r="L170" s="66" t="s">
        <v>234</v>
      </c>
      <c r="M170" s="66"/>
      <c r="N170" s="66"/>
      <c r="O170" s="66"/>
      <c r="P170" s="66"/>
      <c r="Q170" s="66"/>
      <c r="R170" s="66"/>
      <c r="S170" s="66"/>
      <c r="T170" s="66"/>
      <c r="U170" s="66"/>
    </row>
    <row r="171" spans="1:21" x14ac:dyDescent="0.4">
      <c r="A171" s="5" t="s">
        <v>19</v>
      </c>
      <c r="B171" s="5" t="s">
        <v>20</v>
      </c>
      <c r="C171" s="5">
        <v>300</v>
      </c>
      <c r="D171" s="5">
        <v>400</v>
      </c>
      <c r="E171" s="5">
        <v>500</v>
      </c>
      <c r="F171" s="5">
        <v>600</v>
      </c>
      <c r="G171" s="5">
        <v>700</v>
      </c>
      <c r="H171" s="5">
        <v>800</v>
      </c>
      <c r="I171" s="5">
        <v>900</v>
      </c>
      <c r="J171" s="5">
        <v>1000</v>
      </c>
      <c r="L171" s="5" t="s">
        <v>19</v>
      </c>
      <c r="M171" s="5" t="s">
        <v>20</v>
      </c>
      <c r="N171" s="5">
        <v>300</v>
      </c>
      <c r="O171" s="5">
        <v>400</v>
      </c>
      <c r="P171" s="5">
        <v>500</v>
      </c>
      <c r="Q171" s="5">
        <v>600</v>
      </c>
      <c r="R171" s="5">
        <v>700</v>
      </c>
      <c r="S171" s="5">
        <v>800</v>
      </c>
      <c r="T171" s="5">
        <v>900</v>
      </c>
      <c r="U171" s="5">
        <v>1000</v>
      </c>
    </row>
    <row r="172" spans="1:21" ht="15.75" x14ac:dyDescent="0.4">
      <c r="A172" s="5" t="s">
        <v>9</v>
      </c>
      <c r="B172" s="5" t="s">
        <v>0</v>
      </c>
      <c r="C172" s="5">
        <v>-14869.07</v>
      </c>
      <c r="D172" s="5">
        <v>-13000.64</v>
      </c>
      <c r="E172" s="5">
        <v>-11967.26</v>
      </c>
      <c r="F172" s="5">
        <v>-11977.43</v>
      </c>
      <c r="G172" s="5">
        <v>-11782.57</v>
      </c>
      <c r="H172" s="5">
        <v>-10839.83</v>
      </c>
      <c r="I172" s="5">
        <v>-12381.12</v>
      </c>
      <c r="J172" s="5">
        <v>-8872.93</v>
      </c>
      <c r="L172" s="5" t="s">
        <v>9</v>
      </c>
      <c r="M172" s="5" t="s">
        <v>0</v>
      </c>
      <c r="N172" s="5">
        <f>C172+3/4*B185+1/4*B189</f>
        <v>-441413.99499999994</v>
      </c>
      <c r="O172" s="5">
        <f t="shared" ref="O172:U172" si="46">D172+3/4*C185+1/4*C189</f>
        <v>-443461.39000000007</v>
      </c>
      <c r="P172" s="5">
        <f t="shared" si="46"/>
        <v>-447000.96</v>
      </c>
      <c r="Q172" s="5">
        <f t="shared" si="46"/>
        <v>-452127.85499999992</v>
      </c>
      <c r="R172" s="5">
        <f t="shared" si="46"/>
        <v>-457518.92000000004</v>
      </c>
      <c r="S172" s="5">
        <f t="shared" si="46"/>
        <v>-462579.23000000004</v>
      </c>
      <c r="T172" s="5">
        <f t="shared" si="46"/>
        <v>-470500.72000000003</v>
      </c>
      <c r="U172" s="5">
        <f t="shared" si="46"/>
        <v>-473716.78</v>
      </c>
    </row>
    <row r="173" spans="1:21" x14ac:dyDescent="0.4">
      <c r="A173" s="5" t="s">
        <v>10</v>
      </c>
      <c r="B173" s="5" t="s">
        <v>1</v>
      </c>
      <c r="C173" s="5">
        <v>-24812.6</v>
      </c>
      <c r="D173" s="5">
        <v>-22815.16</v>
      </c>
      <c r="E173" s="5">
        <v>-22610.75</v>
      </c>
      <c r="F173" s="5">
        <v>-22178.63</v>
      </c>
      <c r="G173" s="5">
        <v>-20314.05</v>
      </c>
      <c r="H173" s="5">
        <v>-19350.55</v>
      </c>
      <c r="I173" s="5">
        <v>-19309.650000000001</v>
      </c>
      <c r="J173" s="5">
        <v>-17872.39</v>
      </c>
      <c r="L173" s="5" t="s">
        <v>10</v>
      </c>
      <c r="M173" s="5" t="s">
        <v>1</v>
      </c>
      <c r="N173" s="5">
        <f>0.5*B185+0.5*B189+C173</f>
        <v>-347085.35</v>
      </c>
      <c r="O173" s="5">
        <f t="shared" ref="O173:U173" si="47">0.5*C185+0.5*C189+D173</f>
        <v>-349220.36</v>
      </c>
      <c r="P173" s="5">
        <f t="shared" si="47"/>
        <v>-353807.65</v>
      </c>
      <c r="Q173" s="5">
        <f t="shared" si="47"/>
        <v>-358712.88</v>
      </c>
      <c r="R173" s="5">
        <f t="shared" si="47"/>
        <v>-362657.35000000003</v>
      </c>
      <c r="S173" s="5">
        <f t="shared" si="47"/>
        <v>-367923.55</v>
      </c>
      <c r="T173" s="5">
        <f t="shared" si="47"/>
        <v>-374492.95000000007</v>
      </c>
      <c r="U173" s="5">
        <f t="shared" si="47"/>
        <v>-380011.29000000004</v>
      </c>
    </row>
    <row r="174" spans="1:21" ht="15.75" x14ac:dyDescent="0.4">
      <c r="A174" s="65" t="s">
        <v>62</v>
      </c>
      <c r="B174" s="5" t="s">
        <v>69</v>
      </c>
      <c r="C174" s="5">
        <v>-44178.13</v>
      </c>
      <c r="D174" s="5">
        <v>-44676.4</v>
      </c>
      <c r="E174" s="5">
        <v>-43649.27</v>
      </c>
      <c r="F174" s="5">
        <v>-42187.88</v>
      </c>
      <c r="G174" s="5">
        <v>-41685.629999999997</v>
      </c>
      <c r="H174" s="5">
        <v>-41121.29</v>
      </c>
      <c r="I174" s="5">
        <v>-40132</v>
      </c>
      <c r="J174" s="5">
        <v>-40009.11</v>
      </c>
      <c r="L174" s="5" t="s">
        <v>62</v>
      </c>
      <c r="M174" s="5" t="s">
        <v>2</v>
      </c>
      <c r="N174" s="5">
        <f>2/3*B$186+1/3*B$189+C174</f>
        <v>-421804.19666666666</v>
      </c>
      <c r="O174" s="5">
        <f t="shared" ref="O174:U174" si="48">2/3*C$186+1/3*C$189+D174</f>
        <v>-426614.03333333333</v>
      </c>
      <c r="P174" s="5">
        <f t="shared" si="48"/>
        <v>-430560.57</v>
      </c>
      <c r="Q174" s="5">
        <f t="shared" si="48"/>
        <v>-434613.11333333328</v>
      </c>
      <c r="R174" s="5">
        <f t="shared" si="48"/>
        <v>-440083.63</v>
      </c>
      <c r="S174" s="5">
        <f t="shared" si="48"/>
        <v>-445894.5566666667</v>
      </c>
      <c r="T174" s="5">
        <f t="shared" si="48"/>
        <v>-451640.89999999997</v>
      </c>
      <c r="U174" s="5">
        <f t="shared" si="48"/>
        <v>-458579.50999999995</v>
      </c>
    </row>
    <row r="175" spans="1:21" ht="15.75" x14ac:dyDescent="0.4">
      <c r="A175" s="5" t="s">
        <v>63</v>
      </c>
      <c r="B175" s="5" t="s">
        <v>3</v>
      </c>
      <c r="C175" s="5">
        <v>-30255.45</v>
      </c>
      <c r="D175" s="5">
        <v>-30466.37</v>
      </c>
      <c r="E175" s="5">
        <v>-29166.42</v>
      </c>
      <c r="F175" s="5">
        <v>-29103.33</v>
      </c>
      <c r="G175" s="5">
        <v>-28481.08</v>
      </c>
      <c r="H175" s="5">
        <v>-29105.59</v>
      </c>
      <c r="I175" s="5">
        <v>-27910.79</v>
      </c>
      <c r="J175" s="5">
        <v>-27543.15</v>
      </c>
      <c r="L175" s="5" t="s">
        <v>63</v>
      </c>
      <c r="M175" s="5" t="s">
        <v>3</v>
      </c>
      <c r="N175" s="5">
        <f>3/4*B$186+1/4*B$189+C175</f>
        <v>-440868.72500000003</v>
      </c>
      <c r="O175" s="5">
        <f t="shared" ref="O175:U175" si="49">3/4*C$186+1/4*C$189+D175</f>
        <v>-445359.44500000007</v>
      </c>
      <c r="P175" s="5">
        <f t="shared" si="49"/>
        <v>-449001.22</v>
      </c>
      <c r="Q175" s="5">
        <f t="shared" si="49"/>
        <v>-454418.98000000004</v>
      </c>
      <c r="R175" s="5">
        <f t="shared" si="49"/>
        <v>-459734.18000000005</v>
      </c>
      <c r="S175" s="5">
        <f t="shared" si="49"/>
        <v>-466695.49000000005</v>
      </c>
      <c r="T175" s="5">
        <f t="shared" si="49"/>
        <v>-472194.46499999997</v>
      </c>
      <c r="U175" s="5">
        <f t="shared" si="49"/>
        <v>-478843.72499999998</v>
      </c>
    </row>
    <row r="176" spans="1:21" x14ac:dyDescent="0.4">
      <c r="A176" s="5" t="s">
        <v>13</v>
      </c>
      <c r="B176" s="5" t="s">
        <v>4</v>
      </c>
      <c r="C176" s="5">
        <v>-47002.07</v>
      </c>
      <c r="D176" s="5">
        <v>-46897.5</v>
      </c>
      <c r="E176" s="5">
        <v>-47795.37</v>
      </c>
      <c r="F176" s="5">
        <v>-45329.74</v>
      </c>
      <c r="G176" s="5">
        <v>-44318.71</v>
      </c>
      <c r="H176" s="5">
        <v>-45225.91</v>
      </c>
      <c r="I176" s="5">
        <v>-43506.93</v>
      </c>
      <c r="J176" s="5">
        <v>-45194.57</v>
      </c>
      <c r="L176" s="5" t="s">
        <v>13</v>
      </c>
      <c r="M176" s="5" t="s">
        <v>4</v>
      </c>
      <c r="N176" s="5">
        <f>0.5*B$186+0.5*B$189+C176</f>
        <v>-358653.72000000003</v>
      </c>
      <c r="O176" s="5">
        <f t="shared" ref="O176:U176" si="50">0.5*C$186+0.5*C$189+D176</f>
        <v>-362924.25</v>
      </c>
      <c r="P176" s="5">
        <f t="shared" si="50"/>
        <v>-368859.67</v>
      </c>
      <c r="Q176" s="5">
        <f t="shared" si="50"/>
        <v>-371974.14</v>
      </c>
      <c r="R176" s="5">
        <f t="shared" si="50"/>
        <v>-377006.51000000007</v>
      </c>
      <c r="S176" s="5">
        <f t="shared" si="50"/>
        <v>-384365.91000000003</v>
      </c>
      <c r="T176" s="5">
        <f t="shared" si="50"/>
        <v>-389466.27999999997</v>
      </c>
      <c r="U176" s="5">
        <f t="shared" si="50"/>
        <v>-398304.62</v>
      </c>
    </row>
    <row r="177" spans="1:21" ht="15.75" x14ac:dyDescent="0.4">
      <c r="A177" s="5" t="s">
        <v>14</v>
      </c>
      <c r="B177" s="5" t="s">
        <v>5</v>
      </c>
      <c r="C177" s="5">
        <v>-40477.129999999997</v>
      </c>
      <c r="D177" s="5">
        <v>-40010.47</v>
      </c>
      <c r="E177" s="5">
        <v>-39950.080000000002</v>
      </c>
      <c r="F177" s="5">
        <v>-37948.519999999997</v>
      </c>
      <c r="G177" s="5">
        <v>-38051.129999999997</v>
      </c>
      <c r="H177" s="5">
        <v>-38294.22</v>
      </c>
      <c r="I177" s="5">
        <v>-36403.22</v>
      </c>
      <c r="J177" s="5">
        <v>-37266.35</v>
      </c>
      <c r="L177" s="5" t="s">
        <v>14</v>
      </c>
      <c r="M177" s="5" t="s">
        <v>5</v>
      </c>
      <c r="N177" s="5">
        <f>1/3*B$186+2/3*B$189+C177</f>
        <v>-286154.36333333328</v>
      </c>
      <c r="O177" s="5">
        <f t="shared" ref="O177:U177" si="51">1/3*C$186+2/3*C$189+D177</f>
        <v>-290126.33666666667</v>
      </c>
      <c r="P177" s="5">
        <f t="shared" si="51"/>
        <v>-295167.38</v>
      </c>
      <c r="Q177" s="5">
        <f t="shared" si="51"/>
        <v>-298812.08666666667</v>
      </c>
      <c r="R177" s="5">
        <f t="shared" si="51"/>
        <v>-305028.73</v>
      </c>
      <c r="S177" s="5">
        <f t="shared" si="51"/>
        <v>-311800.95333333337</v>
      </c>
      <c r="T177" s="5">
        <f t="shared" si="51"/>
        <v>-316813.02</v>
      </c>
      <c r="U177" s="5">
        <f t="shared" si="51"/>
        <v>-324916.04999999993</v>
      </c>
    </row>
    <row r="178" spans="1:21" ht="15.75" x14ac:dyDescent="0.4">
      <c r="A178" s="5" t="s">
        <v>15</v>
      </c>
      <c r="B178" s="5" t="s">
        <v>6</v>
      </c>
      <c r="C178" s="5">
        <v>-33057.71</v>
      </c>
      <c r="D178" s="5">
        <v>-31744.11</v>
      </c>
      <c r="E178" s="5">
        <v>-32623.06</v>
      </c>
      <c r="F178" s="5">
        <v>-29989.71</v>
      </c>
      <c r="G178" s="5">
        <v>-28990.37</v>
      </c>
      <c r="H178" s="5">
        <v>-28227.93</v>
      </c>
      <c r="I178" s="5">
        <v>-28594.03</v>
      </c>
      <c r="J178" s="5">
        <v>-29310.86</v>
      </c>
      <c r="L178" s="5" t="s">
        <v>15</v>
      </c>
      <c r="M178" s="5" t="s">
        <v>6</v>
      </c>
      <c r="N178" s="5">
        <f>3/4*B187+1/4*B189+C178</f>
        <v>-506810.185</v>
      </c>
      <c r="O178" s="5">
        <f t="shared" ref="O178:U178" si="52">3/4*C187+1/4*C189+D178</f>
        <v>-510066.93500000006</v>
      </c>
      <c r="P178" s="5">
        <f t="shared" si="52"/>
        <v>-516183.11000000004</v>
      </c>
      <c r="Q178" s="5">
        <f t="shared" si="52"/>
        <v>-519331.73500000004</v>
      </c>
      <c r="R178" s="5">
        <f t="shared" si="52"/>
        <v>-524579.14500000002</v>
      </c>
      <c r="S178" s="5">
        <f t="shared" si="52"/>
        <v>-530471.88</v>
      </c>
      <c r="T178" s="5">
        <f t="shared" si="52"/>
        <v>-537858.52999999991</v>
      </c>
      <c r="U178" s="5">
        <f t="shared" si="52"/>
        <v>-545925.78500000003</v>
      </c>
    </row>
    <row r="179" spans="1:21" x14ac:dyDescent="0.4">
      <c r="A179" s="5" t="s">
        <v>16</v>
      </c>
      <c r="B179" s="5" t="s">
        <v>7</v>
      </c>
      <c r="C179" s="5">
        <v>-50354.28</v>
      </c>
      <c r="D179" s="5">
        <v>-49209.22</v>
      </c>
      <c r="E179" s="5">
        <v>-49944.63</v>
      </c>
      <c r="F179" s="5">
        <v>-48685.13</v>
      </c>
      <c r="G179" s="5">
        <v>-47086.23</v>
      </c>
      <c r="H179" s="5">
        <v>-48963.97</v>
      </c>
      <c r="I179" s="5">
        <v>-50202.07</v>
      </c>
      <c r="J179" s="5">
        <v>-50650.16</v>
      </c>
      <c r="L179" s="5" t="s">
        <v>16</v>
      </c>
      <c r="M179" s="5" t="s">
        <v>7</v>
      </c>
      <c r="N179" s="5">
        <f>0.5*B187+0.5*B189+C179</f>
        <v>-404098.73</v>
      </c>
      <c r="O179" s="5">
        <f t="shared" ref="O179:U179" si="53">0.5*C187+0.5*C189+D179</f>
        <v>-407522.47</v>
      </c>
      <c r="P179" s="5">
        <f t="shared" si="53"/>
        <v>-413492.43000000005</v>
      </c>
      <c r="Q179" s="5">
        <f t="shared" si="53"/>
        <v>-418013.78</v>
      </c>
      <c r="R179" s="5">
        <f t="shared" si="53"/>
        <v>-422664.48</v>
      </c>
      <c r="S179" s="5">
        <f t="shared" si="53"/>
        <v>-431206.66999999993</v>
      </c>
      <c r="T179" s="5">
        <f t="shared" si="53"/>
        <v>-439481.97000000003</v>
      </c>
      <c r="U179" s="5">
        <f t="shared" si="53"/>
        <v>-447303.11</v>
      </c>
    </row>
    <row r="180" spans="1:21" ht="15.75" x14ac:dyDescent="0.4">
      <c r="A180" s="5" t="s">
        <v>17</v>
      </c>
      <c r="B180" s="5" t="s">
        <v>8</v>
      </c>
      <c r="C180" s="5">
        <v>-22334.98</v>
      </c>
      <c r="D180" s="5">
        <v>-22849.93</v>
      </c>
      <c r="E180" s="5">
        <v>-23590.13</v>
      </c>
      <c r="F180" s="5">
        <v>-23682.15</v>
      </c>
      <c r="G180" s="5">
        <v>-22213.23</v>
      </c>
      <c r="H180" s="5">
        <v>-23247.01</v>
      </c>
      <c r="I180" s="5">
        <v>-23306.400000000001</v>
      </c>
      <c r="J180" s="5">
        <v>-25373.23</v>
      </c>
      <c r="L180" s="5" t="s">
        <v>17</v>
      </c>
      <c r="M180" s="5" t="s">
        <v>8</v>
      </c>
      <c r="N180" s="5">
        <f>1/4*B188+3/4*B189+C180</f>
        <v>-331855.52999999997</v>
      </c>
      <c r="O180" s="5">
        <f t="shared" ref="O180:U180" si="54">1/4*C188+3/4*C189+D180</f>
        <v>-336606.005</v>
      </c>
      <c r="P180" s="5">
        <f t="shared" si="54"/>
        <v>-342238.60499999998</v>
      </c>
      <c r="Q180" s="5">
        <f t="shared" si="54"/>
        <v>-347767.07500000001</v>
      </c>
      <c r="R180" s="5">
        <f t="shared" si="54"/>
        <v>-352205.63</v>
      </c>
      <c r="S180" s="5">
        <f>1/4*G188+3/4*G189+H180</f>
        <v>-359567.16000000003</v>
      </c>
      <c r="T180" s="5">
        <f t="shared" si="54"/>
        <v>-366334.42500000005</v>
      </c>
      <c r="U180" s="5">
        <f t="shared" si="54"/>
        <v>-375451.23</v>
      </c>
    </row>
    <row r="181" spans="1:21" x14ac:dyDescent="0.4">
      <c r="A181" s="5" t="s">
        <v>65</v>
      </c>
      <c r="B181" s="5" t="s">
        <v>118</v>
      </c>
      <c r="C181" s="5">
        <v>-27388.83</v>
      </c>
      <c r="D181" s="5">
        <v>-27523.08</v>
      </c>
      <c r="E181" s="5">
        <v>-27108.26</v>
      </c>
      <c r="F181" s="5">
        <v>-25202.29</v>
      </c>
      <c r="G181" s="5">
        <v>-25089.55</v>
      </c>
      <c r="H181" s="5">
        <v>-25531.68</v>
      </c>
      <c r="I181" s="5">
        <v>-24105.32</v>
      </c>
      <c r="J181" s="5">
        <v>-23924.78</v>
      </c>
      <c r="L181" s="5" t="s">
        <v>65</v>
      </c>
      <c r="M181" s="5" t="s">
        <v>118</v>
      </c>
      <c r="N181" s="5">
        <f>3/13*B$186+10/13*B$189+C181</f>
        <v>-232466.42230769235</v>
      </c>
      <c r="O181" s="5">
        <f t="shared" ref="O181:U181" si="55">3/13*C$186+10/13*C$189+D181</f>
        <v>-237078.4030769231</v>
      </c>
      <c r="P181" s="5">
        <f t="shared" si="55"/>
        <v>-241804.32923076925</v>
      </c>
      <c r="Q181" s="5">
        <f t="shared" si="55"/>
        <v>-245585.34384615385</v>
      </c>
      <c r="R181" s="5">
        <f t="shared" si="55"/>
        <v>-251630.10384615388</v>
      </c>
      <c r="S181" s="5">
        <f>3/13*G$186+10/13*G$189+H181</f>
        <v>-258648.71076923079</v>
      </c>
      <c r="T181" s="5">
        <f t="shared" si="55"/>
        <v>-264176.93538461538</v>
      </c>
      <c r="U181" s="5">
        <f t="shared" si="55"/>
        <v>-271291.18769230769</v>
      </c>
    </row>
    <row r="183" spans="1:21" x14ac:dyDescent="0.4">
      <c r="A183" s="66" t="s">
        <v>242</v>
      </c>
      <c r="B183" s="66"/>
      <c r="C183" s="66"/>
      <c r="D183" s="66"/>
      <c r="E183" s="66"/>
      <c r="F183" s="66"/>
      <c r="G183" s="66"/>
      <c r="H183" s="66"/>
      <c r="I183" s="66"/>
    </row>
    <row r="184" spans="1:21" x14ac:dyDescent="0.4">
      <c r="A184" s="58" t="s">
        <v>29</v>
      </c>
      <c r="B184" s="58">
        <v>300</v>
      </c>
      <c r="C184" s="58">
        <v>400</v>
      </c>
      <c r="D184" s="58">
        <v>500</v>
      </c>
      <c r="E184" s="58">
        <v>600</v>
      </c>
      <c r="F184" s="58">
        <v>700</v>
      </c>
      <c r="G184" s="58">
        <v>800</v>
      </c>
      <c r="H184" s="58">
        <v>900</v>
      </c>
      <c r="I184" s="58">
        <v>1000</v>
      </c>
    </row>
    <row r="185" spans="1:21" x14ac:dyDescent="0.4">
      <c r="A185" s="58" t="s">
        <v>30</v>
      </c>
      <c r="B185" s="58">
        <v>-530817.1</v>
      </c>
      <c r="C185" s="58">
        <v>-534516.30000000005</v>
      </c>
      <c r="D185" s="58">
        <v>-538870.5</v>
      </c>
      <c r="E185" s="58">
        <v>-543766.6</v>
      </c>
      <c r="F185" s="58">
        <v>-549129.4</v>
      </c>
      <c r="G185" s="58">
        <v>-554905.80000000005</v>
      </c>
      <c r="H185" s="58">
        <v>-561055.9</v>
      </c>
      <c r="I185" s="58">
        <v>-567548.80000000005</v>
      </c>
    </row>
    <row r="186" spans="1:21" x14ac:dyDescent="0.4">
      <c r="A186" s="58" t="s">
        <v>31</v>
      </c>
      <c r="B186" s="58">
        <v>-509574.9</v>
      </c>
      <c r="C186" s="58">
        <v>-513759.4</v>
      </c>
      <c r="D186" s="58">
        <v>-518605.3</v>
      </c>
      <c r="E186" s="58">
        <v>-523986.9</v>
      </c>
      <c r="F186" s="58">
        <v>-529818.4</v>
      </c>
      <c r="G186" s="58">
        <v>-536039.80000000005</v>
      </c>
      <c r="H186" s="58">
        <v>-542608</v>
      </c>
      <c r="I186" s="58">
        <v>-549491.1</v>
      </c>
    </row>
    <row r="187" spans="1:21" x14ac:dyDescent="0.4">
      <c r="A187" s="58" t="s">
        <v>32</v>
      </c>
      <c r="B187" s="58">
        <v>-593760.5</v>
      </c>
      <c r="C187" s="58">
        <v>-598332.4</v>
      </c>
      <c r="D187" s="58">
        <v>-603572.30000000005</v>
      </c>
      <c r="E187" s="58">
        <v>-609355.4</v>
      </c>
      <c r="F187" s="58">
        <v>-615599.30000000005</v>
      </c>
      <c r="G187" s="58">
        <v>-622245.19999999995</v>
      </c>
      <c r="H187" s="58">
        <v>-629249.1</v>
      </c>
      <c r="I187" s="58">
        <v>-636576.9</v>
      </c>
    </row>
    <row r="188" spans="1:21" x14ac:dyDescent="0.4">
      <c r="A188" s="58" t="s">
        <v>33</v>
      </c>
      <c r="B188" s="58">
        <v>-896897</v>
      </c>
      <c r="C188" s="58">
        <v>-900142</v>
      </c>
      <c r="D188" s="58">
        <v>-904024</v>
      </c>
      <c r="E188" s="58">
        <v>-908434</v>
      </c>
      <c r="F188" s="58">
        <v>-913298</v>
      </c>
      <c r="G188" s="58">
        <v>-918560</v>
      </c>
      <c r="H188" s="58">
        <v>-924180</v>
      </c>
      <c r="I188" s="58">
        <v>-930125</v>
      </c>
    </row>
    <row r="189" spans="1:21" x14ac:dyDescent="0.4">
      <c r="A189" s="58" t="s">
        <v>34</v>
      </c>
      <c r="B189" s="58">
        <v>-113728.4</v>
      </c>
      <c r="C189" s="58">
        <v>-118294.1</v>
      </c>
      <c r="D189" s="58">
        <v>-123523.3</v>
      </c>
      <c r="E189" s="58">
        <v>-129301.9</v>
      </c>
      <c r="F189" s="58">
        <v>-135557.20000000001</v>
      </c>
      <c r="G189" s="58">
        <v>-142240.20000000001</v>
      </c>
      <c r="H189" s="58">
        <v>-149310.70000000001</v>
      </c>
      <c r="I189" s="58">
        <v>-156729</v>
      </c>
    </row>
    <row r="193" spans="1:10" x14ac:dyDescent="0.4">
      <c r="A193" s="66" t="s">
        <v>233</v>
      </c>
      <c r="B193" s="66"/>
      <c r="C193" s="66"/>
      <c r="D193" s="66"/>
      <c r="E193" s="66"/>
      <c r="F193" s="66"/>
      <c r="G193" s="66"/>
      <c r="H193" s="66"/>
      <c r="I193" s="66"/>
      <c r="J193" s="66"/>
    </row>
    <row r="194" spans="1:10" x14ac:dyDescent="0.4">
      <c r="A194" s="11" t="s">
        <v>20</v>
      </c>
      <c r="B194" s="11" t="s">
        <v>19</v>
      </c>
      <c r="C194" s="11" t="s">
        <v>43</v>
      </c>
      <c r="D194" s="11" t="s">
        <v>44</v>
      </c>
      <c r="E194" s="11" t="s">
        <v>45</v>
      </c>
      <c r="F194" s="11" t="s">
        <v>46</v>
      </c>
      <c r="G194" s="11" t="s">
        <v>47</v>
      </c>
      <c r="H194" s="11" t="s">
        <v>48</v>
      </c>
      <c r="I194" s="11" t="s">
        <v>49</v>
      </c>
      <c r="J194" s="11" t="s">
        <v>50</v>
      </c>
    </row>
    <row r="195" spans="1:10" x14ac:dyDescent="0.4">
      <c r="A195" s="11" t="s">
        <v>108</v>
      </c>
      <c r="B195" s="65" t="s">
        <v>173</v>
      </c>
      <c r="C195" s="11">
        <v>-63661.63</v>
      </c>
      <c r="D195" s="11">
        <v>-64179.73</v>
      </c>
      <c r="E195" s="11">
        <v>-64058.5</v>
      </c>
      <c r="F195" s="11">
        <v>-61952.26</v>
      </c>
      <c r="G195" s="11">
        <v>-61885.49</v>
      </c>
      <c r="H195" s="11">
        <v>-61371.16</v>
      </c>
      <c r="I195" s="11">
        <v>-60442.32</v>
      </c>
      <c r="J195" s="11">
        <v>-60922.09</v>
      </c>
    </row>
    <row r="196" spans="1:10" x14ac:dyDescent="0.4">
      <c r="A196" s="11" t="s">
        <v>109</v>
      </c>
      <c r="B196" s="13" t="s">
        <v>120</v>
      </c>
      <c r="C196" s="11">
        <v>-63309.65</v>
      </c>
      <c r="D196" s="11">
        <v>-62941.56</v>
      </c>
      <c r="E196" s="11">
        <v>-63221.48</v>
      </c>
      <c r="F196" s="11">
        <v>-60385.73</v>
      </c>
      <c r="G196" s="11">
        <v>-60415.63</v>
      </c>
      <c r="H196" s="11">
        <v>-60381.21</v>
      </c>
      <c r="I196" s="11">
        <v>-58584.27</v>
      </c>
      <c r="J196" s="11">
        <v>-59692.6</v>
      </c>
    </row>
    <row r="197" spans="1:10" x14ac:dyDescent="0.4">
      <c r="A197" s="11" t="s">
        <v>110</v>
      </c>
      <c r="B197" s="13" t="s">
        <v>121</v>
      </c>
      <c r="C197" s="11">
        <v>-47230.02</v>
      </c>
      <c r="D197" s="11">
        <v>-46368.41</v>
      </c>
      <c r="E197" s="11">
        <v>-47098.65</v>
      </c>
      <c r="F197" s="11">
        <v>-44320.7</v>
      </c>
      <c r="G197" s="11">
        <v>-44883.31</v>
      </c>
      <c r="H197" s="11">
        <v>-44362.84</v>
      </c>
      <c r="I197" s="11">
        <v>-44761.94</v>
      </c>
      <c r="J197" s="11">
        <v>-42540.03</v>
      </c>
    </row>
    <row r="198" spans="1:10" x14ac:dyDescent="0.4">
      <c r="A198" s="11" t="s">
        <v>111</v>
      </c>
      <c r="B198" s="65" t="s">
        <v>138</v>
      </c>
      <c r="C198" s="11">
        <v>-51712.72</v>
      </c>
      <c r="D198" s="11">
        <v>-52347.63</v>
      </c>
      <c r="E198" s="11">
        <v>-53188.7</v>
      </c>
      <c r="F198" s="11">
        <v>-53172.959999999999</v>
      </c>
      <c r="G198" s="11">
        <v>-52171.58</v>
      </c>
      <c r="H198" s="11">
        <v>-51389.760000000002</v>
      </c>
      <c r="I198" s="11">
        <v>-50232.88</v>
      </c>
      <c r="J198" s="11">
        <v>-51558.92</v>
      </c>
    </row>
    <row r="199" spans="1:10" x14ac:dyDescent="0.4">
      <c r="A199" s="11" t="s">
        <v>112</v>
      </c>
      <c r="B199" s="13" t="s">
        <v>122</v>
      </c>
      <c r="C199" s="11">
        <v>-54814.93</v>
      </c>
      <c r="D199" s="11">
        <v>-54980.34</v>
      </c>
      <c r="E199" s="11">
        <v>-54995.07</v>
      </c>
      <c r="F199" s="11">
        <v>-53289.09</v>
      </c>
      <c r="G199" s="11">
        <v>-53202.41</v>
      </c>
      <c r="H199" s="11">
        <v>-54667.18</v>
      </c>
      <c r="I199" s="11">
        <v>-54936.94</v>
      </c>
      <c r="J199" s="11">
        <v>-54415.9</v>
      </c>
    </row>
    <row r="200" spans="1:10" x14ac:dyDescent="0.4">
      <c r="A200" s="11" t="s">
        <v>113</v>
      </c>
      <c r="B200" s="13" t="s">
        <v>123</v>
      </c>
      <c r="C200" s="11">
        <v>-46923.47</v>
      </c>
      <c r="D200" s="11">
        <v>-48895.67</v>
      </c>
      <c r="E200" s="11">
        <v>-46611.21</v>
      </c>
      <c r="F200" s="11">
        <v>-46751</v>
      </c>
      <c r="G200" s="11">
        <v>-47923.12</v>
      </c>
      <c r="H200" s="11">
        <v>-45672.93</v>
      </c>
      <c r="I200" s="11">
        <v>-45954.400000000001</v>
      </c>
      <c r="J200" s="11">
        <v>-44232.34</v>
      </c>
    </row>
    <row r="201" spans="1:10" x14ac:dyDescent="0.4">
      <c r="A201" s="11" t="s">
        <v>114</v>
      </c>
      <c r="B201" s="13" t="s">
        <v>124</v>
      </c>
      <c r="C201" s="11">
        <v>-60580.5</v>
      </c>
      <c r="D201" s="11">
        <v>-58568.06</v>
      </c>
      <c r="E201" s="11">
        <v>-59179.54</v>
      </c>
      <c r="F201" s="11">
        <v>-55941.26</v>
      </c>
      <c r="G201" s="11">
        <v>-56522.44</v>
      </c>
      <c r="H201" s="11">
        <v>-56247.62</v>
      </c>
      <c r="I201" s="11">
        <v>-55946.54</v>
      </c>
      <c r="J201" s="11">
        <v>-56698.01</v>
      </c>
    </row>
    <row r="202" spans="1:10" x14ac:dyDescent="0.4">
      <c r="A202" s="11" t="s">
        <v>115</v>
      </c>
      <c r="B202" s="13" t="s">
        <v>125</v>
      </c>
      <c r="C202" s="11">
        <v>-68381.52</v>
      </c>
      <c r="D202" s="11">
        <v>-66651.11</v>
      </c>
      <c r="E202" s="11">
        <v>-67324.13</v>
      </c>
      <c r="F202" s="11">
        <v>-66069.67</v>
      </c>
      <c r="G202" s="11">
        <v>-66318.929999999993</v>
      </c>
      <c r="H202" s="11">
        <v>-65230.86</v>
      </c>
      <c r="I202" s="11">
        <v>-65915.39</v>
      </c>
      <c r="J202" s="11">
        <v>-64487.76</v>
      </c>
    </row>
    <row r="203" spans="1:10" x14ac:dyDescent="0.4">
      <c r="A203" s="11" t="s">
        <v>116</v>
      </c>
      <c r="B203" s="65" t="s">
        <v>136</v>
      </c>
      <c r="C203" s="11">
        <v>-58047.98</v>
      </c>
      <c r="D203" s="11">
        <v>-56950.23</v>
      </c>
      <c r="E203" s="11">
        <v>-55923.01</v>
      </c>
      <c r="F203" s="11">
        <v>-53969.41</v>
      </c>
      <c r="G203" s="11">
        <v>-54405.07</v>
      </c>
      <c r="H203" s="11">
        <v>-52429.57</v>
      </c>
      <c r="I203" s="11">
        <v>-52382.36</v>
      </c>
      <c r="J203" s="11">
        <v>-51594.15</v>
      </c>
    </row>
    <row r="204" spans="1:10" x14ac:dyDescent="0.4">
      <c r="A204" s="11" t="s">
        <v>117</v>
      </c>
      <c r="B204" s="65" t="s">
        <v>137</v>
      </c>
      <c r="C204" s="11">
        <v>-47728.62</v>
      </c>
      <c r="D204" s="11">
        <v>-48091.55</v>
      </c>
      <c r="E204" s="11">
        <v>-46236.160000000003</v>
      </c>
      <c r="F204" s="11">
        <v>-46334.02</v>
      </c>
      <c r="G204" s="11">
        <v>-47342.16</v>
      </c>
      <c r="H204" s="11">
        <v>-45968.77</v>
      </c>
      <c r="I204" s="11">
        <v>-46172.46</v>
      </c>
      <c r="J204" s="11">
        <v>-44888.05</v>
      </c>
    </row>
    <row r="205" spans="1:10" x14ac:dyDescent="0.4">
      <c r="A205" s="11" t="s">
        <v>118</v>
      </c>
      <c r="B205" s="13" t="s">
        <v>65</v>
      </c>
      <c r="C205" s="11">
        <v>-27388.83</v>
      </c>
      <c r="D205" s="11">
        <v>-27523.08</v>
      </c>
      <c r="E205" s="11">
        <v>-27108.26</v>
      </c>
      <c r="F205" s="11">
        <v>-25202.29</v>
      </c>
      <c r="G205" s="11">
        <v>-25089.55</v>
      </c>
      <c r="H205" s="11">
        <v>-25531.68</v>
      </c>
      <c r="I205" s="11">
        <v>-24105.32</v>
      </c>
      <c r="J205" s="11">
        <v>-23924.78</v>
      </c>
    </row>
    <row r="207" spans="1:10" x14ac:dyDescent="0.4">
      <c r="A207" s="66" t="s">
        <v>233</v>
      </c>
      <c r="B207" s="66"/>
      <c r="C207" s="66"/>
      <c r="D207" s="66"/>
      <c r="E207" s="66"/>
      <c r="F207" s="66"/>
      <c r="G207" s="66"/>
      <c r="H207" s="66"/>
      <c r="I207" s="66"/>
      <c r="J207" s="66"/>
    </row>
    <row r="208" spans="1:10" x14ac:dyDescent="0.4">
      <c r="A208" s="11" t="s">
        <v>20</v>
      </c>
      <c r="B208" s="11" t="s">
        <v>19</v>
      </c>
      <c r="C208" s="11" t="s">
        <v>43</v>
      </c>
      <c r="D208" s="11" t="s">
        <v>44</v>
      </c>
      <c r="E208" s="11" t="s">
        <v>45</v>
      </c>
      <c r="F208" s="11" t="s">
        <v>46</v>
      </c>
      <c r="G208" s="11" t="s">
        <v>47</v>
      </c>
      <c r="H208" s="11" t="s">
        <v>48</v>
      </c>
      <c r="I208" s="11" t="s">
        <v>49</v>
      </c>
      <c r="J208" s="11" t="s">
        <v>50</v>
      </c>
    </row>
    <row r="209" spans="1:10" x14ac:dyDescent="0.4">
      <c r="A209" s="11" t="s">
        <v>111</v>
      </c>
      <c r="B209" s="65" t="s">
        <v>138</v>
      </c>
      <c r="C209" s="11">
        <v>-51712.72</v>
      </c>
      <c r="D209" s="11">
        <v>-52347.63</v>
      </c>
      <c r="E209" s="11">
        <v>-53188.7</v>
      </c>
      <c r="F209" s="11">
        <v>-53172.959999999999</v>
      </c>
      <c r="G209" s="11">
        <v>-52171.58</v>
      </c>
      <c r="H209" s="11">
        <v>-51389.760000000002</v>
      </c>
      <c r="I209" s="11">
        <v>-50232.88</v>
      </c>
      <c r="J209" s="11">
        <v>-51558.92</v>
      </c>
    </row>
    <row r="210" spans="1:10" x14ac:dyDescent="0.4">
      <c r="A210" s="11" t="s">
        <v>116</v>
      </c>
      <c r="B210" s="65" t="s">
        <v>136</v>
      </c>
      <c r="C210" s="11">
        <v>-58047.98</v>
      </c>
      <c r="D210" s="11">
        <v>-56950.23</v>
      </c>
      <c r="E210" s="11">
        <v>-55923.01</v>
      </c>
      <c r="F210" s="11">
        <v>-53969.41</v>
      </c>
      <c r="G210" s="11">
        <v>-54405.07</v>
      </c>
      <c r="H210" s="11">
        <v>-52429.57</v>
      </c>
      <c r="I210" s="11">
        <v>-52382.36</v>
      </c>
      <c r="J210" s="11">
        <v>-51594.15</v>
      </c>
    </row>
    <row r="211" spans="1:10" x14ac:dyDescent="0.4">
      <c r="A211" s="11" t="s">
        <v>117</v>
      </c>
      <c r="B211" s="65" t="s">
        <v>137</v>
      </c>
      <c r="C211" s="11">
        <v>-47728.62</v>
      </c>
      <c r="D211" s="11">
        <v>-48091.55</v>
      </c>
      <c r="E211" s="11">
        <v>-46236.160000000003</v>
      </c>
      <c r="F211" s="11">
        <v>-46334.02</v>
      </c>
      <c r="G211" s="11">
        <v>-47342.16</v>
      </c>
      <c r="H211" s="11">
        <v>-45968.77</v>
      </c>
      <c r="I211" s="11">
        <v>-46172.46</v>
      </c>
      <c r="J211" s="11">
        <v>-44888.05</v>
      </c>
    </row>
    <row r="212" spans="1:10" x14ac:dyDescent="0.4">
      <c r="A212" s="11" t="s">
        <v>118</v>
      </c>
      <c r="B212" s="65" t="s">
        <v>65</v>
      </c>
      <c r="C212" s="11">
        <v>-27388.83</v>
      </c>
      <c r="D212" s="11">
        <v>-27523.08</v>
      </c>
      <c r="E212" s="11">
        <v>-27108.26</v>
      </c>
      <c r="F212" s="11">
        <v>-25202.29</v>
      </c>
      <c r="G212" s="11">
        <v>-25089.55</v>
      </c>
      <c r="H212" s="11">
        <v>-25531.68</v>
      </c>
      <c r="I212" s="11">
        <v>-24105.32</v>
      </c>
      <c r="J212" s="11">
        <v>-23924.78</v>
      </c>
    </row>
    <row r="213" spans="1:10" x14ac:dyDescent="0.4">
      <c r="A213" s="11" t="s">
        <v>108</v>
      </c>
      <c r="B213" s="65" t="s">
        <v>173</v>
      </c>
      <c r="C213" s="11">
        <v>-63661.63</v>
      </c>
      <c r="D213" s="11">
        <v>-64179.73</v>
      </c>
      <c r="E213" s="11">
        <v>-64058.5</v>
      </c>
      <c r="F213" s="11">
        <v>-61952.26</v>
      </c>
      <c r="G213" s="11">
        <v>-61885.49</v>
      </c>
      <c r="H213" s="11">
        <v>-61371.16</v>
      </c>
      <c r="I213" s="11">
        <v>-60442.32</v>
      </c>
      <c r="J213" s="11">
        <v>-60922.09</v>
      </c>
    </row>
    <row r="222" spans="1:10" x14ac:dyDescent="0.4">
      <c r="A222" s="66" t="s">
        <v>235</v>
      </c>
      <c r="B222" s="66"/>
      <c r="C222" s="66"/>
      <c r="D222" s="66"/>
      <c r="E222" s="66"/>
      <c r="F222" s="66"/>
      <c r="G222" s="66"/>
      <c r="H222" s="66"/>
      <c r="I222" s="66"/>
    </row>
    <row r="223" spans="1:10" x14ac:dyDescent="0.4">
      <c r="A223" s="11" t="s">
        <v>126</v>
      </c>
      <c r="B223" s="11" t="s">
        <v>128</v>
      </c>
      <c r="C223" s="11" t="s">
        <v>129</v>
      </c>
      <c r="D223" s="11" t="s">
        <v>130</v>
      </c>
      <c r="E223" s="11" t="s">
        <v>131</v>
      </c>
      <c r="F223" s="11" t="s">
        <v>132</v>
      </c>
      <c r="G223" s="11" t="s">
        <v>134</v>
      </c>
      <c r="H223" s="11" t="s">
        <v>135</v>
      </c>
      <c r="I223" s="11" t="s">
        <v>133</v>
      </c>
    </row>
    <row r="224" spans="1:10" x14ac:dyDescent="0.4">
      <c r="A224" s="11" t="s">
        <v>127</v>
      </c>
      <c r="B224" s="11" t="s">
        <v>140</v>
      </c>
      <c r="C224" s="11" t="s">
        <v>141</v>
      </c>
      <c r="D224" s="11" t="s">
        <v>142</v>
      </c>
      <c r="E224" s="11" t="s">
        <v>143</v>
      </c>
      <c r="F224" s="11" t="s">
        <v>144</v>
      </c>
      <c r="G224" s="11" t="s">
        <v>145</v>
      </c>
      <c r="H224" s="11" t="s">
        <v>146</v>
      </c>
      <c r="I224" s="11" t="s">
        <v>147</v>
      </c>
    </row>
    <row r="225" spans="1:11" x14ac:dyDescent="0.4">
      <c r="A225" s="11">
        <v>300</v>
      </c>
      <c r="B225" s="11">
        <v>-208.2151428098625</v>
      </c>
      <c r="C225" s="11">
        <v>-257.95164667904999</v>
      </c>
      <c r="D225" s="11">
        <v>-706.80456367880004</v>
      </c>
      <c r="E225" s="11">
        <v>-154.822501935025</v>
      </c>
      <c r="F225" s="11">
        <v>-309.41408113106871</v>
      </c>
      <c r="G225" s="11">
        <v>-3179.7506044000997</v>
      </c>
      <c r="H225" s="11">
        <v>-2112.5108075992498</v>
      </c>
      <c r="I225" s="11">
        <v>-2018.9132198598502</v>
      </c>
    </row>
    <row r="226" spans="1:11" x14ac:dyDescent="0.4">
      <c r="A226" s="11">
        <v>400</v>
      </c>
      <c r="B226" s="11">
        <v>-221.38995860986248</v>
      </c>
      <c r="C226" s="11">
        <v>-264.02435267904997</v>
      </c>
      <c r="D226" s="11">
        <v>-710.35962277880003</v>
      </c>
      <c r="E226" s="11">
        <v>-161.890261335025</v>
      </c>
      <c r="F226" s="11">
        <v>-327.98459823106873</v>
      </c>
      <c r="G226" s="11">
        <v>-3220.2179793000996</v>
      </c>
      <c r="H226" s="11">
        <v>-2126.1249199992499</v>
      </c>
      <c r="I226" s="11">
        <v>-2033.50205715985</v>
      </c>
    </row>
    <row r="227" spans="1:11" x14ac:dyDescent="0.4">
      <c r="A227" s="11">
        <v>500</v>
      </c>
      <c r="B227" s="11">
        <v>-235.82081600986248</v>
      </c>
      <c r="C227" s="11">
        <v>-270.71322317904998</v>
      </c>
      <c r="D227" s="11">
        <v>-714.52442857879998</v>
      </c>
      <c r="E227" s="11">
        <v>-170.17450433502501</v>
      </c>
      <c r="F227" s="11">
        <v>-349.02623943106875</v>
      </c>
      <c r="G227" s="11">
        <v>-3265.6715747000999</v>
      </c>
      <c r="H227" s="11">
        <v>-2142.1449506992499</v>
      </c>
      <c r="I227" s="11">
        <v>-2050.5188828598502</v>
      </c>
    </row>
    <row r="228" spans="1:11" x14ac:dyDescent="0.4">
      <c r="A228" s="11">
        <v>600</v>
      </c>
      <c r="B228" s="11">
        <v>-251.25381870986249</v>
      </c>
      <c r="C228" s="11">
        <v>-277.89407447905</v>
      </c>
      <c r="D228" s="11">
        <v>-719.18113177880002</v>
      </c>
      <c r="E228" s="11">
        <v>-179.441001135025</v>
      </c>
      <c r="F228" s="11">
        <v>-372.05168403106876</v>
      </c>
      <c r="G228" s="11">
        <v>-3315.1151624001</v>
      </c>
      <c r="H228" s="11">
        <v>-2160.1153565992499</v>
      </c>
      <c r="I228" s="11">
        <v>-2069.4975386598503</v>
      </c>
    </row>
    <row r="229" spans="1:11" x14ac:dyDescent="0.4">
      <c r="A229" s="11">
        <v>700</v>
      </c>
      <c r="B229" s="11">
        <v>-267.52073200986246</v>
      </c>
      <c r="C229" s="11">
        <v>-285.48447737904996</v>
      </c>
      <c r="D229" s="11">
        <v>-724.24955857880002</v>
      </c>
      <c r="E229" s="11">
        <v>-189.53005633502499</v>
      </c>
      <c r="F229" s="11">
        <v>-396.73331893106871</v>
      </c>
      <c r="G229" s="11">
        <v>-3367.8840781000999</v>
      </c>
      <c r="H229" s="11">
        <v>-2179.7226170992499</v>
      </c>
      <c r="I229" s="11">
        <v>-2090.1197238598502</v>
      </c>
    </row>
    <row r="230" spans="1:11" x14ac:dyDescent="0.4">
      <c r="A230" s="11">
        <v>800</v>
      </c>
      <c r="B230" s="11">
        <v>-284.50180230986246</v>
      </c>
      <c r="C230" s="11">
        <v>-293.42570047904996</v>
      </c>
      <c r="D230" s="11">
        <v>-729.67181297880006</v>
      </c>
      <c r="E230" s="11">
        <v>-200.326209335025</v>
      </c>
      <c r="F230" s="11">
        <v>-422.83607653106873</v>
      </c>
      <c r="G230" s="11">
        <v>-3423.5034130001</v>
      </c>
      <c r="H230" s="11">
        <v>-2200.7388397992499</v>
      </c>
      <c r="I230" s="11">
        <v>-2112.1550910598503</v>
      </c>
    </row>
    <row r="231" spans="1:11" x14ac:dyDescent="0.4">
      <c r="A231" s="11">
        <v>900</v>
      </c>
      <c r="B231" s="11">
        <v>-302.10740640986245</v>
      </c>
      <c r="C231" s="11">
        <v>-301.67376407904999</v>
      </c>
      <c r="D231" s="11">
        <v>-735.40418507879997</v>
      </c>
      <c r="E231" s="11">
        <v>-211.742226535025</v>
      </c>
      <c r="F231" s="11">
        <v>-450.18317553106874</v>
      </c>
      <c r="G231" s="11">
        <v>-3481.6169307000996</v>
      </c>
      <c r="H231" s="11">
        <v>-2222.9912719992499</v>
      </c>
      <c r="I231" s="11">
        <v>-2135.4295018598505</v>
      </c>
    </row>
    <row r="232" spans="1:11" x14ac:dyDescent="0.4">
      <c r="A232" s="11">
        <v>1000</v>
      </c>
      <c r="B232" s="11">
        <v>-320.26793670986245</v>
      </c>
      <c r="C232" s="11">
        <v>-310.19449697904997</v>
      </c>
      <c r="D232" s="11">
        <v>-741.41253127879997</v>
      </c>
      <c r="E232" s="11">
        <v>-223.70993363502498</v>
      </c>
      <c r="F232" s="11">
        <v>-478.6368752310687</v>
      </c>
      <c r="G232" s="11">
        <v>-3541.9475355001</v>
      </c>
      <c r="H232" s="11">
        <v>-2246.3446061992499</v>
      </c>
      <c r="I232" s="11">
        <v>-2159.8068083598505</v>
      </c>
    </row>
    <row r="235" spans="1:11" x14ac:dyDescent="0.4">
      <c r="A235" s="11" t="s">
        <v>126</v>
      </c>
      <c r="B235" s="11" t="s">
        <v>127</v>
      </c>
      <c r="C235" s="11">
        <v>300</v>
      </c>
      <c r="D235" s="11">
        <v>400</v>
      </c>
      <c r="E235" s="11">
        <v>500</v>
      </c>
      <c r="F235" s="11">
        <v>600</v>
      </c>
      <c r="G235" s="11">
        <v>700</v>
      </c>
      <c r="H235" s="11">
        <v>800</v>
      </c>
      <c r="I235" s="11">
        <v>900</v>
      </c>
      <c r="J235" s="11">
        <v>1000</v>
      </c>
    </row>
    <row r="236" spans="1:11" x14ac:dyDescent="0.4">
      <c r="A236" s="63" t="s">
        <v>128</v>
      </c>
      <c r="B236" s="63" t="s">
        <v>140</v>
      </c>
      <c r="C236" s="63">
        <v>-208.2151428098625</v>
      </c>
      <c r="D236" s="63">
        <v>-221.38995860986248</v>
      </c>
      <c r="E236" s="63">
        <v>-235.82081600986248</v>
      </c>
      <c r="F236" s="63">
        <v>-251.25381870986249</v>
      </c>
      <c r="G236" s="63">
        <v>-267.52073200986246</v>
      </c>
      <c r="H236" s="63">
        <v>-284.50180230986246</v>
      </c>
      <c r="I236" s="63">
        <v>-302.10740640986245</v>
      </c>
      <c r="J236" s="63">
        <v>-320.26793670986245</v>
      </c>
      <c r="K236" s="85" t="s">
        <v>149</v>
      </c>
    </row>
    <row r="237" spans="1:11" x14ac:dyDescent="0.4">
      <c r="A237" s="63" t="s">
        <v>129</v>
      </c>
      <c r="B237" s="63" t="s">
        <v>141</v>
      </c>
      <c r="C237" s="63">
        <v>-257.95164667904999</v>
      </c>
      <c r="D237" s="63">
        <v>-264.02435267904997</v>
      </c>
      <c r="E237" s="63">
        <v>-270.71322317904998</v>
      </c>
      <c r="F237" s="63">
        <v>-277.89407447905</v>
      </c>
      <c r="G237" s="63">
        <v>-285.48447737904996</v>
      </c>
      <c r="H237" s="63">
        <v>-293.42570047904996</v>
      </c>
      <c r="I237" s="63">
        <v>-301.67376407904999</v>
      </c>
      <c r="J237" s="63">
        <v>-310.19449697904997</v>
      </c>
      <c r="K237" s="85"/>
    </row>
    <row r="238" spans="1:11" x14ac:dyDescent="0.4">
      <c r="A238" s="63" t="s">
        <v>130</v>
      </c>
      <c r="B238" s="63" t="s">
        <v>142</v>
      </c>
      <c r="C238" s="63">
        <v>-706.80456367880004</v>
      </c>
      <c r="D238" s="63">
        <v>-710.35962277880003</v>
      </c>
      <c r="E238" s="63">
        <v>-714.52442857879998</v>
      </c>
      <c r="F238" s="63">
        <v>-719.18113177880002</v>
      </c>
      <c r="G238" s="63">
        <v>-724.24955857880002</v>
      </c>
      <c r="H238" s="63">
        <v>-729.67181297880006</v>
      </c>
      <c r="I238" s="63">
        <v>-735.40418507879997</v>
      </c>
      <c r="J238" s="63">
        <v>-741.41253127879997</v>
      </c>
      <c r="K238" s="85"/>
    </row>
    <row r="239" spans="1:11" x14ac:dyDescent="0.4">
      <c r="A239" s="63" t="s">
        <v>131</v>
      </c>
      <c r="B239" s="63" t="s">
        <v>143</v>
      </c>
      <c r="C239" s="63">
        <v>-154.822501935025</v>
      </c>
      <c r="D239" s="63">
        <v>-161.890261335025</v>
      </c>
      <c r="E239" s="63">
        <v>-170.17450433502501</v>
      </c>
      <c r="F239" s="63">
        <v>-179.441001135025</v>
      </c>
      <c r="G239" s="63">
        <v>-189.53005633502499</v>
      </c>
      <c r="H239" s="63">
        <v>-200.326209335025</v>
      </c>
      <c r="I239" s="63">
        <v>-211.742226535025</v>
      </c>
      <c r="J239" s="63">
        <v>-223.70993363502498</v>
      </c>
      <c r="K239" s="85"/>
    </row>
    <row r="240" spans="1:11" x14ac:dyDescent="0.4">
      <c r="A240" s="63" t="s">
        <v>132</v>
      </c>
      <c r="B240" s="63" t="s">
        <v>144</v>
      </c>
      <c r="C240" s="63">
        <v>-309.41408113106871</v>
      </c>
      <c r="D240" s="63">
        <v>-327.98459823106873</v>
      </c>
      <c r="E240" s="63">
        <v>-349.02623943106875</v>
      </c>
      <c r="F240" s="63">
        <v>-372.05168403106876</v>
      </c>
      <c r="G240" s="63">
        <v>-396.73331893106871</v>
      </c>
      <c r="H240" s="63">
        <v>-422.83607653106873</v>
      </c>
      <c r="I240" s="63">
        <v>-450.18317553106874</v>
      </c>
      <c r="J240" s="63">
        <v>-478.6368752310687</v>
      </c>
      <c r="K240" s="85"/>
    </row>
    <row r="241" spans="1:10" x14ac:dyDescent="0.4">
      <c r="A241" s="11" t="s">
        <v>184</v>
      </c>
      <c r="B241" s="11" t="s">
        <v>148</v>
      </c>
      <c r="C241" s="11">
        <v>-3179.7506044000997</v>
      </c>
      <c r="D241" s="11">
        <v>-3220.2179793000996</v>
      </c>
      <c r="E241" s="11">
        <v>-3265.6715747000999</v>
      </c>
      <c r="F241" s="11">
        <v>-3315.1151624001</v>
      </c>
      <c r="G241" s="11">
        <v>-3367.8840781000999</v>
      </c>
      <c r="H241" s="11">
        <v>-3423.5034130001</v>
      </c>
      <c r="I241" s="11">
        <v>-3481.6169307000996</v>
      </c>
      <c r="J241" s="11">
        <v>-3541.9475355001</v>
      </c>
    </row>
    <row r="242" spans="1:10" x14ac:dyDescent="0.4">
      <c r="A242" s="11" t="s">
        <v>135</v>
      </c>
      <c r="B242" s="11" t="s">
        <v>146</v>
      </c>
      <c r="C242" s="11">
        <v>-2112.5108075992498</v>
      </c>
      <c r="D242" s="11">
        <v>-2126.1249199992499</v>
      </c>
      <c r="E242" s="11">
        <v>-2142.1449506992499</v>
      </c>
      <c r="F242" s="11">
        <v>-2160.1153565992499</v>
      </c>
      <c r="G242" s="11">
        <v>-2179.7226170992499</v>
      </c>
      <c r="H242" s="11">
        <v>-2200.7388397992499</v>
      </c>
      <c r="I242" s="11">
        <v>-2222.9912719992499</v>
      </c>
      <c r="J242" s="11">
        <v>-2246.3446061992499</v>
      </c>
    </row>
    <row r="243" spans="1:10" x14ac:dyDescent="0.4">
      <c r="A243" s="11" t="s">
        <v>133</v>
      </c>
      <c r="B243" s="11" t="s">
        <v>147</v>
      </c>
      <c r="C243" s="11">
        <v>-2018.9132198598502</v>
      </c>
      <c r="D243" s="11">
        <v>-2033.50205715985</v>
      </c>
      <c r="E243" s="11">
        <v>-2050.5188828598502</v>
      </c>
      <c r="F243" s="11">
        <v>-2069.4975386598503</v>
      </c>
      <c r="G243" s="11">
        <v>-2090.1197238598502</v>
      </c>
      <c r="H243" s="11">
        <v>-2112.1550910598503</v>
      </c>
      <c r="I243" s="11">
        <v>-2135.4295018598505</v>
      </c>
      <c r="J243" s="11">
        <v>-2159.8068083598505</v>
      </c>
    </row>
    <row r="244" spans="1:10" x14ac:dyDescent="0.4">
      <c r="A244" s="20" t="s">
        <v>166</v>
      </c>
      <c r="B244" s="11" t="s">
        <v>169</v>
      </c>
      <c r="C244" s="11">
        <v>-3116.7234165643504</v>
      </c>
      <c r="D244" s="11">
        <v>-3132.7527312643501</v>
      </c>
      <c r="E244" s="11">
        <v>-3151.7693344643503</v>
      </c>
      <c r="F244" s="11">
        <v>-3173.2136688643504</v>
      </c>
      <c r="G244" s="11">
        <v>-3196.6981673643504</v>
      </c>
      <c r="H244" s="11">
        <v>-3221.9401587643501</v>
      </c>
      <c r="I244" s="11">
        <v>-3248.7249307643501</v>
      </c>
      <c r="J244" s="11">
        <v>-3276.8840893643501</v>
      </c>
    </row>
    <row r="245" spans="1:10" x14ac:dyDescent="0.4">
      <c r="A245" s="20" t="s">
        <v>167</v>
      </c>
      <c r="B245" s="11" t="s">
        <v>168</v>
      </c>
      <c r="C245" s="11">
        <v>-4269.2805009309495</v>
      </c>
      <c r="D245" s="11">
        <v>-4293.3779228309495</v>
      </c>
      <c r="E245" s="11">
        <v>-4322.1716837309496</v>
      </c>
      <c r="F245" s="11">
        <v>-4354.8058598309499</v>
      </c>
      <c r="G245" s="11">
        <v>-4390.6784654309495</v>
      </c>
      <c r="H245" s="11">
        <v>-4429.3466447309502</v>
      </c>
      <c r="I245" s="11">
        <v>-4470.4722139309497</v>
      </c>
      <c r="J245" s="11">
        <v>-4513.7890057309496</v>
      </c>
    </row>
    <row r="247" spans="1:10" x14ac:dyDescent="0.4">
      <c r="A247" s="11" t="s">
        <v>134</v>
      </c>
      <c r="B247" s="11" t="s">
        <v>139</v>
      </c>
      <c r="C247" s="11">
        <f t="shared" ref="C247:J247" si="56">C241/8*1000</f>
        <v>-397468.82555001247</v>
      </c>
      <c r="D247" s="11">
        <f t="shared" si="56"/>
        <v>-402527.24741251243</v>
      </c>
      <c r="E247" s="11">
        <f t="shared" si="56"/>
        <v>-408208.94683751249</v>
      </c>
      <c r="F247" s="11">
        <f t="shared" si="56"/>
        <v>-414389.39530001249</v>
      </c>
      <c r="G247" s="11">
        <f t="shared" si="56"/>
        <v>-420985.50976251252</v>
      </c>
      <c r="H247" s="11">
        <f t="shared" si="56"/>
        <v>-427937.92662501248</v>
      </c>
      <c r="I247" s="11">
        <f t="shared" si="56"/>
        <v>-435202.11633751245</v>
      </c>
      <c r="J247" s="11">
        <f t="shared" si="56"/>
        <v>-442743.44193751249</v>
      </c>
    </row>
    <row r="248" spans="1:10" x14ac:dyDescent="0.4">
      <c r="A248" s="11" t="s">
        <v>135</v>
      </c>
      <c r="B248" s="11" t="s">
        <v>139</v>
      </c>
      <c r="C248" s="11">
        <f t="shared" ref="C248:J249" si="57">C242/4*1000</f>
        <v>-528127.70189981244</v>
      </c>
      <c r="D248" s="11">
        <f t="shared" si="57"/>
        <v>-531531.22999981244</v>
      </c>
      <c r="E248" s="11">
        <f t="shared" si="57"/>
        <v>-535536.23767481244</v>
      </c>
      <c r="F248" s="11">
        <f t="shared" si="57"/>
        <v>-540028.83914981247</v>
      </c>
      <c r="G248" s="11">
        <f t="shared" si="57"/>
        <v>-544930.65427481243</v>
      </c>
      <c r="H248" s="11">
        <f t="shared" si="57"/>
        <v>-550184.7099498125</v>
      </c>
      <c r="I248" s="11">
        <f t="shared" si="57"/>
        <v>-555747.81799981243</v>
      </c>
      <c r="J248" s="11">
        <f t="shared" si="57"/>
        <v>-561586.15154981252</v>
      </c>
    </row>
    <row r="249" spans="1:10" x14ac:dyDescent="0.4">
      <c r="A249" s="11" t="s">
        <v>133</v>
      </c>
      <c r="B249" s="11" t="s">
        <v>139</v>
      </c>
      <c r="C249" s="11">
        <f t="shared" si="57"/>
        <v>-504728.30496496253</v>
      </c>
      <c r="D249" s="11">
        <f t="shared" si="57"/>
        <v>-508375.51428996248</v>
      </c>
      <c r="E249" s="11">
        <f t="shared" si="57"/>
        <v>-512629.72071496258</v>
      </c>
      <c r="F249" s="11">
        <f t="shared" si="57"/>
        <v>-517374.38466496259</v>
      </c>
      <c r="G249" s="11">
        <f t="shared" si="57"/>
        <v>-522529.93096496252</v>
      </c>
      <c r="H249" s="11">
        <f t="shared" si="57"/>
        <v>-528038.77276496252</v>
      </c>
      <c r="I249" s="11">
        <f t="shared" si="57"/>
        <v>-533857.37546496256</v>
      </c>
      <c r="J249" s="11">
        <f t="shared" si="57"/>
        <v>-539951.70208996267</v>
      </c>
    </row>
    <row r="250" spans="1:10" x14ac:dyDescent="0.4">
      <c r="A250" s="20" t="s">
        <v>166</v>
      </c>
      <c r="B250" s="11" t="s">
        <v>139</v>
      </c>
      <c r="C250" s="11">
        <f>C244/5*1000</f>
        <v>-623344.6833128701</v>
      </c>
      <c r="D250" s="11">
        <f t="shared" ref="D250:J250" si="58">D244/5*1000</f>
        <v>-626550.54625287</v>
      </c>
      <c r="E250" s="11">
        <f t="shared" si="58"/>
        <v>-630353.86689287005</v>
      </c>
      <c r="F250" s="11">
        <f t="shared" si="58"/>
        <v>-634642.73377287004</v>
      </c>
      <c r="G250" s="11">
        <f t="shared" si="58"/>
        <v>-639339.6334728701</v>
      </c>
      <c r="H250" s="11">
        <f t="shared" si="58"/>
        <v>-644388.03175286995</v>
      </c>
      <c r="I250" s="11">
        <f t="shared" si="58"/>
        <v>-649744.98615287011</v>
      </c>
      <c r="J250" s="11">
        <f t="shared" si="58"/>
        <v>-655376.81787287001</v>
      </c>
    </row>
    <row r="251" spans="1:10" x14ac:dyDescent="0.4">
      <c r="A251" s="20" t="s">
        <v>167</v>
      </c>
      <c r="B251" s="11" t="s">
        <v>139</v>
      </c>
      <c r="C251" s="11">
        <f>C245/8*1000</f>
        <v>-533660.06261636864</v>
      </c>
      <c r="D251" s="11">
        <f t="shared" ref="D251:J251" si="59">D245/8*1000</f>
        <v>-536672.24035386869</v>
      </c>
      <c r="E251" s="11">
        <f t="shared" si="59"/>
        <v>-540271.46046636871</v>
      </c>
      <c r="F251" s="11">
        <f t="shared" si="59"/>
        <v>-544350.73247886868</v>
      </c>
      <c r="G251" s="11">
        <f t="shared" si="59"/>
        <v>-548834.80817886873</v>
      </c>
      <c r="H251" s="11">
        <f t="shared" si="59"/>
        <v>-553668.33059136872</v>
      </c>
      <c r="I251" s="11">
        <f t="shared" si="59"/>
        <v>-558809.0267413687</v>
      </c>
      <c r="J251" s="11">
        <f t="shared" si="59"/>
        <v>-564223.62571636867</v>
      </c>
    </row>
    <row r="253" spans="1:10" x14ac:dyDescent="0.4">
      <c r="A253" s="66" t="s">
        <v>236</v>
      </c>
      <c r="B253" s="66"/>
      <c r="C253" s="66"/>
      <c r="D253" s="7"/>
    </row>
    <row r="254" spans="1:10" x14ac:dyDescent="0.4">
      <c r="A254" s="11" t="s">
        <v>156</v>
      </c>
      <c r="B254" s="11" t="s">
        <v>84</v>
      </c>
      <c r="C254" s="11" t="s">
        <v>157</v>
      </c>
    </row>
    <row r="255" spans="1:10" x14ac:dyDescent="0.4">
      <c r="A255" s="11" t="s">
        <v>150</v>
      </c>
      <c r="B255" s="11">
        <v>-184.16488430986249</v>
      </c>
      <c r="C255" s="11">
        <v>6910</v>
      </c>
    </row>
    <row r="256" spans="1:10" x14ac:dyDescent="0.4">
      <c r="A256" s="11" t="s">
        <v>151</v>
      </c>
      <c r="B256" s="11">
        <v>-247.15382727905001</v>
      </c>
      <c r="C256" s="11">
        <v>6610</v>
      </c>
    </row>
    <row r="257" spans="1:3" x14ac:dyDescent="0.4">
      <c r="A257" s="11" t="s">
        <v>152</v>
      </c>
      <c r="B257" s="11">
        <v>-702.12096677880004</v>
      </c>
      <c r="C257" s="11">
        <v>4920.384</v>
      </c>
    </row>
    <row r="258" spans="1:3" x14ac:dyDescent="0.4">
      <c r="A258" s="11" t="s">
        <v>153</v>
      </c>
      <c r="B258" s="11">
        <v>-145.480002435025</v>
      </c>
      <c r="C258" s="11">
        <v>4998</v>
      </c>
    </row>
    <row r="259" spans="1:3" x14ac:dyDescent="0.4">
      <c r="A259" s="11" t="s">
        <v>154</v>
      </c>
      <c r="B259" s="11">
        <v>-280.45073553106874</v>
      </c>
      <c r="C259" s="11">
        <v>5572</v>
      </c>
    </row>
    <row r="260" spans="1:3" x14ac:dyDescent="0.4">
      <c r="A260" s="11" t="s">
        <v>52</v>
      </c>
      <c r="B260" s="11">
        <f>-7.70942273*96.485/4</f>
        <v>-185.96091302601249</v>
      </c>
      <c r="C260" s="11">
        <v>5736</v>
      </c>
    </row>
    <row r="261" spans="1:3" x14ac:dyDescent="0.4">
      <c r="A261" s="11" t="s">
        <v>170</v>
      </c>
      <c r="B261" s="11">
        <f>-453.92421034*96.485/84</f>
        <v>-521.39139803160595</v>
      </c>
      <c r="C261" s="11">
        <v>5360</v>
      </c>
    </row>
    <row r="262" spans="1:3" x14ac:dyDescent="0.4">
      <c r="A262" s="11" t="s">
        <v>54</v>
      </c>
      <c r="B262" s="11">
        <f>-14.99920743*96.485/4</f>
        <v>-361.79963222088753</v>
      </c>
      <c r="C262" s="11">
        <v>4540</v>
      </c>
    </row>
    <row r="263" spans="1:3" x14ac:dyDescent="0.4">
      <c r="A263" s="11" t="s">
        <v>171</v>
      </c>
      <c r="B263" s="11">
        <f>-43.39932705*96.485/8</f>
        <v>-523.42300880240623</v>
      </c>
      <c r="C263" s="11">
        <v>3217</v>
      </c>
    </row>
    <row r="264" spans="1:3" x14ac:dyDescent="0.4">
      <c r="A264" s="11" t="s">
        <v>172</v>
      </c>
      <c r="B264" s="11">
        <f xml:space="preserve"> -20.52098976*96.485/4</f>
        <v>-494.99192424839998</v>
      </c>
      <c r="C264" s="11">
        <v>7280.16</v>
      </c>
    </row>
    <row r="265" spans="1:3" x14ac:dyDescent="0.4">
      <c r="A265" s="11" t="s">
        <v>207</v>
      </c>
      <c r="B265" s="11">
        <f>-132.26414338*96.485/32</f>
        <v>-398.79705856310312</v>
      </c>
      <c r="C265" s="11">
        <v>4412</v>
      </c>
    </row>
    <row r="266" spans="1:3" x14ac:dyDescent="0.4">
      <c r="A266" s="11" t="s">
        <v>53</v>
      </c>
      <c r="B266" s="11">
        <f>-28.06379643*96.485/4</f>
        <v>-676.93384963713754</v>
      </c>
      <c r="C266" s="11">
        <v>4765.567</v>
      </c>
    </row>
    <row r="267" spans="1:3" x14ac:dyDescent="0.4">
      <c r="A267" s="11" t="s">
        <v>208</v>
      </c>
      <c r="B267" s="11">
        <f>-14.92013453*96.485/4</f>
        <v>-359.8922950317625</v>
      </c>
      <c r="C267" s="11">
        <v>5004</v>
      </c>
    </row>
    <row r="268" spans="1:3" x14ac:dyDescent="0.4">
      <c r="A268" s="11" t="s">
        <v>209</v>
      </c>
      <c r="B268" s="11">
        <f>-24.82858427*96.485/6</f>
        <v>-399.26432554849163</v>
      </c>
      <c r="C268" s="11">
        <v>5870.152</v>
      </c>
    </row>
    <row r="269" spans="1:3" x14ac:dyDescent="0.4">
      <c r="A269" s="11" t="s">
        <v>51</v>
      </c>
      <c r="B269" s="11">
        <f>-15.02825571*96.485/16</f>
        <v>-90.625078261209367</v>
      </c>
      <c r="C269" s="11">
        <v>7489</v>
      </c>
    </row>
    <row r="276" spans="1:10" x14ac:dyDescent="0.4">
      <c r="A276" s="66" t="s">
        <v>237</v>
      </c>
      <c r="B276" s="66"/>
      <c r="C276" s="66"/>
      <c r="D276" s="66"/>
      <c r="E276" s="66"/>
      <c r="F276" s="66"/>
      <c r="G276" s="66"/>
      <c r="H276" s="66"/>
      <c r="I276" s="66"/>
      <c r="J276" s="66"/>
    </row>
    <row r="277" spans="1:10" x14ac:dyDescent="0.4">
      <c r="A277" s="11" t="s">
        <v>155</v>
      </c>
      <c r="B277" s="11" t="s">
        <v>127</v>
      </c>
      <c r="C277" s="11">
        <v>300</v>
      </c>
      <c r="D277" s="11">
        <v>400</v>
      </c>
      <c r="E277" s="11">
        <v>500</v>
      </c>
      <c r="F277" s="11">
        <v>600</v>
      </c>
      <c r="G277" s="11">
        <v>700</v>
      </c>
      <c r="H277" s="11">
        <v>800</v>
      </c>
      <c r="I277" s="11">
        <v>900</v>
      </c>
      <c r="J277" s="11">
        <v>1000</v>
      </c>
    </row>
    <row r="278" spans="1:10" x14ac:dyDescent="0.4">
      <c r="A278" s="11" t="s">
        <v>150</v>
      </c>
      <c r="B278" s="11"/>
      <c r="C278" s="11">
        <v>-18750.161198325601</v>
      </c>
      <c r="D278" s="11">
        <v>-25486.301264365698</v>
      </c>
      <c r="E278" s="11">
        <v>-33107.461241614597</v>
      </c>
      <c r="F278" s="11">
        <v>-41511.197442872501</v>
      </c>
      <c r="G278" s="11">
        <v>-50602.501727773597</v>
      </c>
      <c r="H278" s="11">
        <v>-60303.2225503597</v>
      </c>
      <c r="I278" s="11">
        <v>-70550.082247683604</v>
      </c>
      <c r="J278" s="11">
        <v>-81291.497779435304</v>
      </c>
    </row>
    <row r="279" spans="1:10" x14ac:dyDescent="0.4">
      <c r="A279" s="11" t="s">
        <v>151</v>
      </c>
      <c r="B279" s="11"/>
      <c r="C279" s="11">
        <v>-17295.154085641399</v>
      </c>
      <c r="D279" s="11">
        <v>-23490.794207388899</v>
      </c>
      <c r="E279" s="11">
        <v>-30407.320595351201</v>
      </c>
      <c r="F279" s="11">
        <v>-37903.1198803148</v>
      </c>
      <c r="G279" s="11">
        <v>-45870.9063609234</v>
      </c>
      <c r="H279" s="11">
        <v>-54237.461790504</v>
      </c>
      <c r="I279" s="11">
        <v>-62949.614540616298</v>
      </c>
      <c r="J279" s="11">
        <v>-71966.944455456105</v>
      </c>
    </row>
    <row r="280" spans="1:10" x14ac:dyDescent="0.4">
      <c r="A280" s="11" t="s">
        <v>152</v>
      </c>
      <c r="B280" s="11"/>
      <c r="C280" s="11">
        <v>-9466.8608807333094</v>
      </c>
      <c r="D280" s="11">
        <v>-13020.267013095499</v>
      </c>
      <c r="E280" s="11">
        <v>-17234.436598558299</v>
      </c>
      <c r="F280" s="11">
        <v>-21996.4346112653</v>
      </c>
      <c r="G280" s="11">
        <v>-27229.8181871132</v>
      </c>
      <c r="H280" s="11">
        <v>-32879.707248589402</v>
      </c>
      <c r="I280" s="11">
        <v>-38904.939133220098</v>
      </c>
      <c r="J280" s="11">
        <v>-45273.593840114503</v>
      </c>
    </row>
    <row r="281" spans="1:10" x14ac:dyDescent="0.4">
      <c r="A281" s="11" t="s">
        <v>153</v>
      </c>
      <c r="B281" s="11"/>
      <c r="C281" s="11">
        <v>-9801.4422232577308</v>
      </c>
      <c r="D281" s="11">
        <v>-13465.7604368381</v>
      </c>
      <c r="E281" s="11">
        <v>-17789.113914364199</v>
      </c>
      <c r="F281" s="11">
        <v>-22658.6511119276</v>
      </c>
      <c r="G281" s="11">
        <v>-27999.584884406398</v>
      </c>
      <c r="H281" s="11">
        <v>-33759.991319559202</v>
      </c>
      <c r="I281" s="11">
        <v>-39902.614905674804</v>
      </c>
      <c r="J281" s="11">
        <v>-46400.382395542299</v>
      </c>
    </row>
    <row r="282" spans="1:10" x14ac:dyDescent="0.4">
      <c r="A282" s="11" t="s">
        <v>154</v>
      </c>
      <c r="B282" s="11"/>
      <c r="C282" s="11">
        <v>-12218.2661265243</v>
      </c>
      <c r="D282" s="11">
        <v>-16714.536534271101</v>
      </c>
      <c r="E282" s="11">
        <v>-21899.711618376699</v>
      </c>
      <c r="F282" s="11">
        <v>-27627.244917913202</v>
      </c>
      <c r="G282" s="11">
        <v>-33800.948874391899</v>
      </c>
      <c r="H282" s="11">
        <v>-40354.057891423901</v>
      </c>
      <c r="I282" s="11">
        <v>-47237.496967193103</v>
      </c>
      <c r="J282" s="11">
        <v>-54413.637596922301</v>
      </c>
    </row>
    <row r="283" spans="1:10" x14ac:dyDescent="0.4">
      <c r="A283" s="11" t="s">
        <v>52</v>
      </c>
      <c r="B283" s="11"/>
      <c r="C283" s="11">
        <v>-12476.548327180501</v>
      </c>
      <c r="D283" s="11">
        <v>-17045.440331443999</v>
      </c>
      <c r="E283" s="11">
        <v>-22293.1512980199</v>
      </c>
      <c r="F283" s="11">
        <v>-28113.702338892399</v>
      </c>
      <c r="G283" s="11">
        <v>-34442.235358881699</v>
      </c>
      <c r="H283" s="11">
        <v>-41234.663742263197</v>
      </c>
      <c r="I283" s="11">
        <v>-48458.940576483597</v>
      </c>
      <c r="J283" s="11">
        <v>-56090.658070258803</v>
      </c>
    </row>
    <row r="284" spans="1:10" x14ac:dyDescent="0.4">
      <c r="A284" s="11" t="s">
        <v>170</v>
      </c>
      <c r="B284" s="11"/>
      <c r="C284" s="11">
        <v>-12327.136089235401</v>
      </c>
      <c r="D284" s="11">
        <v>-16820.912482963999</v>
      </c>
      <c r="E284" s="11">
        <v>-21954.2059278589</v>
      </c>
      <c r="F284" s="11">
        <v>-27609.771410774702</v>
      </c>
      <c r="G284" s="11">
        <v>-33703.903270427101</v>
      </c>
      <c r="H284" s="11">
        <v>-40174.901047007501</v>
      </c>
      <c r="I284" s="11">
        <v>-46975.789991210797</v>
      </c>
      <c r="J284" s="11">
        <v>-54069.8094744837</v>
      </c>
    </row>
    <row r="285" spans="1:10" x14ac:dyDescent="0.4">
      <c r="A285" s="11" t="s">
        <v>54</v>
      </c>
      <c r="B285" s="11"/>
      <c r="C285" s="11">
        <v>-8490.1401628760505</v>
      </c>
      <c r="D285" s="11">
        <v>-11709.5014291098</v>
      </c>
      <c r="E285" s="11">
        <v>-15578.6122704068</v>
      </c>
      <c r="F285" s="11">
        <v>-19990.043642504301</v>
      </c>
      <c r="G285" s="11">
        <v>-24871.7293607129</v>
      </c>
      <c r="H285" s="11">
        <v>-30173.228431629901</v>
      </c>
      <c r="I285" s="11">
        <v>-35861.399889761502</v>
      </c>
      <c r="J285" s="11">
        <v>-41915.2721061384</v>
      </c>
    </row>
    <row r="286" spans="1:10" x14ac:dyDescent="0.4">
      <c r="A286" s="11" t="s">
        <v>171</v>
      </c>
      <c r="B286" s="11"/>
      <c r="C286" s="11">
        <v>-5643.1248654641504</v>
      </c>
      <c r="D286" s="11">
        <v>-7850.7460461062601</v>
      </c>
      <c r="E286" s="11">
        <v>-10614.7149796788</v>
      </c>
      <c r="F286" s="11">
        <v>-13847.3331312094</v>
      </c>
      <c r="G286" s="11">
        <v>-17483.822608163198</v>
      </c>
      <c r="H286" s="11">
        <v>-21475.4899319207</v>
      </c>
      <c r="I286" s="11">
        <v>-25784.7200582226</v>
      </c>
      <c r="J286" s="11">
        <v>-30381.703386492802</v>
      </c>
    </row>
    <row r="287" spans="1:10" x14ac:dyDescent="0.4">
      <c r="A287" s="11" t="s">
        <v>172</v>
      </c>
      <c r="B287" s="11"/>
      <c r="C287" s="11">
        <v>-20836.3549733451</v>
      </c>
      <c r="D287" s="11">
        <v>-28210.898030574299</v>
      </c>
      <c r="E287" s="11">
        <v>-36298.519911274998</v>
      </c>
      <c r="F287" s="11">
        <v>-44983.349432255804</v>
      </c>
      <c r="G287" s="11">
        <v>-54190.176811571699</v>
      </c>
      <c r="H287" s="11">
        <v>-63866.376822569502</v>
      </c>
      <c r="I287" s="11">
        <v>-73973.211527975101</v>
      </c>
      <c r="J287" s="11">
        <v>-84481.107171888507</v>
      </c>
    </row>
    <row r="288" spans="1:10" x14ac:dyDescent="0.4">
      <c r="A288" s="11" t="s">
        <v>207</v>
      </c>
      <c r="B288" s="11"/>
      <c r="C288" s="11">
        <v>-9621.1302479487204</v>
      </c>
      <c r="D288" s="11">
        <v>-13195.864522911999</v>
      </c>
      <c r="E288" s="11">
        <v>-17394.649719228499</v>
      </c>
      <c r="F288" s="11">
        <v>-22123.641411207798</v>
      </c>
      <c r="G288" s="11">
        <v>-27316.442829086602</v>
      </c>
      <c r="H288" s="11">
        <v>-32922.867063316698</v>
      </c>
      <c r="I288" s="11">
        <v>-38903.007259293699</v>
      </c>
      <c r="J288" s="11">
        <v>-45223.870257822797</v>
      </c>
    </row>
    <row r="289" spans="1:10" x14ac:dyDescent="0.4">
      <c r="A289" s="11" t="s">
        <v>53</v>
      </c>
      <c r="B289" s="11"/>
      <c r="C289" s="11">
        <v>-2607.5070645751998</v>
      </c>
      <c r="D289" s="11">
        <v>-6718.8899700822203</v>
      </c>
      <c r="E289" s="11">
        <v>-11497.209858914401</v>
      </c>
      <c r="F289" s="11">
        <v>-16826.862600897301</v>
      </c>
      <c r="G289" s="11">
        <v>-22629.007225052599</v>
      </c>
      <c r="H289" s="11">
        <v>-28846.817579160299</v>
      </c>
      <c r="I289" s="11">
        <v>-35437.5696994514</v>
      </c>
      <c r="J289" s="11">
        <v>-42368.0807040738</v>
      </c>
    </row>
    <row r="290" spans="1:10" x14ac:dyDescent="0.4">
      <c r="A290" s="11" t="s">
        <v>208</v>
      </c>
      <c r="B290" s="11"/>
      <c r="C290" s="11">
        <v>-9945.1390858254508</v>
      </c>
      <c r="D290" s="11">
        <v>-13649.409853588</v>
      </c>
      <c r="E290" s="11">
        <v>-17995.474922765199</v>
      </c>
      <c r="F290" s="11">
        <v>-22867.569164464599</v>
      </c>
      <c r="G290" s="11">
        <v>-28186.9049830119</v>
      </c>
      <c r="H290" s="11">
        <v>-33896.470600260996</v>
      </c>
      <c r="I290" s="11">
        <v>-39953.0826089318</v>
      </c>
      <c r="J290" s="11">
        <v>-46322.865126886602</v>
      </c>
    </row>
    <row r="291" spans="1:10" x14ac:dyDescent="0.4">
      <c r="A291" s="11" t="s">
        <v>209</v>
      </c>
      <c r="B291" s="11"/>
      <c r="C291" s="11">
        <v>-13656.720790421299</v>
      </c>
      <c r="D291" s="11">
        <v>-18609.0388936159</v>
      </c>
      <c r="E291" s="11">
        <v>-24215.900497842598</v>
      </c>
      <c r="F291" s="11">
        <v>-30355.514797898799</v>
      </c>
      <c r="G291" s="11">
        <v>-36949.625558094398</v>
      </c>
      <c r="H291" s="11">
        <v>-43946.310773306599</v>
      </c>
      <c r="I291" s="11">
        <v>-51310.6044575052</v>
      </c>
      <c r="J291" s="11">
        <v>-59016.701805459401</v>
      </c>
    </row>
    <row r="292" spans="1:10" x14ac:dyDescent="0.4">
      <c r="A292" s="11" t="s">
        <v>51</v>
      </c>
      <c r="B292" s="11"/>
      <c r="C292" s="11">
        <v>-23034.1791864644</v>
      </c>
      <c r="D292" s="11">
        <v>-31209.6239112968</v>
      </c>
      <c r="E292" s="11">
        <v>-40169.687313033202</v>
      </c>
      <c r="F292" s="11">
        <v>-49744.266801097503</v>
      </c>
      <c r="G292" s="11">
        <v>-59828.072251630998</v>
      </c>
      <c r="H292" s="11">
        <v>-70349.0686827834</v>
      </c>
      <c r="I292" s="11">
        <v>-81254.980719540603</v>
      </c>
      <c r="J292" s="11">
        <v>-92506.481879223007</v>
      </c>
    </row>
    <row r="298" spans="1:10" x14ac:dyDescent="0.4">
      <c r="A298" s="66" t="s">
        <v>238</v>
      </c>
      <c r="B298" s="66"/>
      <c r="C298" s="66"/>
      <c r="D298" s="66"/>
      <c r="E298" s="66"/>
      <c r="F298" s="66"/>
      <c r="G298" s="66"/>
      <c r="H298" s="66"/>
      <c r="I298" s="66"/>
      <c r="J298" s="66"/>
    </row>
    <row r="299" spans="1:10" x14ac:dyDescent="0.4">
      <c r="A299" s="11" t="s">
        <v>155</v>
      </c>
      <c r="B299" s="11" t="s">
        <v>127</v>
      </c>
      <c r="C299" s="11">
        <v>300</v>
      </c>
      <c r="D299" s="11">
        <v>400</v>
      </c>
      <c r="E299" s="11">
        <v>500</v>
      </c>
      <c r="F299" s="11">
        <v>600</v>
      </c>
      <c r="G299" s="11">
        <v>700</v>
      </c>
      <c r="H299" s="11">
        <v>800</v>
      </c>
      <c r="I299" s="11">
        <v>900</v>
      </c>
      <c r="J299" s="11">
        <v>1000</v>
      </c>
    </row>
    <row r="300" spans="1:10" x14ac:dyDescent="0.4">
      <c r="A300" s="11" t="s">
        <v>150</v>
      </c>
      <c r="B300" s="11"/>
      <c r="C300" s="11">
        <f t="shared" ref="C300:J314" si="60">C278+$C255+$B255*1000</f>
        <v>-196005.04550818808</v>
      </c>
      <c r="D300" s="11">
        <f t="shared" si="60"/>
        <v>-202741.18557422818</v>
      </c>
      <c r="E300" s="11">
        <f t="shared" si="60"/>
        <v>-210362.34555147708</v>
      </c>
      <c r="F300" s="11">
        <f t="shared" si="60"/>
        <v>-218766.08175273499</v>
      </c>
      <c r="G300" s="11">
        <f t="shared" si="60"/>
        <v>-227857.38603763608</v>
      </c>
      <c r="H300" s="11">
        <f t="shared" si="60"/>
        <v>-237558.10686022218</v>
      </c>
      <c r="I300" s="11">
        <f t="shared" si="60"/>
        <v>-247804.96655754608</v>
      </c>
      <c r="J300" s="11">
        <f t="shared" si="60"/>
        <v>-258546.38208929778</v>
      </c>
    </row>
    <row r="301" spans="1:10" x14ac:dyDescent="0.4">
      <c r="A301" s="11" t="s">
        <v>151</v>
      </c>
      <c r="B301" s="11"/>
      <c r="C301" s="11">
        <f t="shared" si="60"/>
        <v>-257838.98136469143</v>
      </c>
      <c r="D301" s="11">
        <f t="shared" si="60"/>
        <v>-264034.6214864389</v>
      </c>
      <c r="E301" s="11">
        <f t="shared" si="60"/>
        <v>-270951.14787440124</v>
      </c>
      <c r="F301" s="11">
        <f t="shared" si="60"/>
        <v>-278446.94715936482</v>
      </c>
      <c r="G301" s="11">
        <f t="shared" si="60"/>
        <v>-286414.73363997345</v>
      </c>
      <c r="H301" s="11">
        <f t="shared" si="60"/>
        <v>-294781.28906955401</v>
      </c>
      <c r="I301" s="11">
        <f t="shared" si="60"/>
        <v>-303493.4418196663</v>
      </c>
      <c r="J301" s="11">
        <f t="shared" si="60"/>
        <v>-312510.77173450612</v>
      </c>
    </row>
    <row r="302" spans="1:10" x14ac:dyDescent="0.4">
      <c r="A302" s="11" t="s">
        <v>152</v>
      </c>
      <c r="B302" s="11"/>
      <c r="C302" s="11">
        <f t="shared" si="60"/>
        <v>-706667.44365953328</v>
      </c>
      <c r="D302" s="11">
        <f t="shared" si="60"/>
        <v>-710220.84979189548</v>
      </c>
      <c r="E302" s="11">
        <f t="shared" si="60"/>
        <v>-714435.01937735826</v>
      </c>
      <c r="F302" s="11">
        <f t="shared" si="60"/>
        <v>-719197.01739006536</v>
      </c>
      <c r="G302" s="11">
        <f t="shared" si="60"/>
        <v>-724430.4009659132</v>
      </c>
      <c r="H302" s="11">
        <f t="shared" si="60"/>
        <v>-730080.29002738942</v>
      </c>
      <c r="I302" s="11">
        <f t="shared" si="60"/>
        <v>-736105.52191202017</v>
      </c>
      <c r="J302" s="11">
        <f t="shared" si="60"/>
        <v>-742474.17661891447</v>
      </c>
    </row>
    <row r="303" spans="1:10" x14ac:dyDescent="0.4">
      <c r="A303" s="11" t="s">
        <v>153</v>
      </c>
      <c r="B303" s="11"/>
      <c r="C303" s="11">
        <f t="shared" si="60"/>
        <v>-150283.44465828274</v>
      </c>
      <c r="D303" s="11">
        <f t="shared" si="60"/>
        <v>-153947.76287186309</v>
      </c>
      <c r="E303" s="11">
        <f t="shared" si="60"/>
        <v>-158271.11634938919</v>
      </c>
      <c r="F303" s="11">
        <f t="shared" si="60"/>
        <v>-163140.65354695261</v>
      </c>
      <c r="G303" s="11">
        <f t="shared" si="60"/>
        <v>-168481.58731943139</v>
      </c>
      <c r="H303" s="11">
        <f t="shared" si="60"/>
        <v>-174241.9937545842</v>
      </c>
      <c r="I303" s="11">
        <f t="shared" si="60"/>
        <v>-180384.6173406998</v>
      </c>
      <c r="J303" s="11">
        <f t="shared" si="60"/>
        <v>-186882.38483056729</v>
      </c>
    </row>
    <row r="304" spans="1:10" x14ac:dyDescent="0.4">
      <c r="A304" s="11" t="s">
        <v>154</v>
      </c>
      <c r="B304" s="11"/>
      <c r="C304" s="11">
        <f t="shared" si="60"/>
        <v>-287097.00165759306</v>
      </c>
      <c r="D304" s="11">
        <f t="shared" si="60"/>
        <v>-291593.27206533984</v>
      </c>
      <c r="E304" s="11">
        <f t="shared" si="60"/>
        <v>-296778.44714944548</v>
      </c>
      <c r="F304" s="11">
        <f t="shared" si="60"/>
        <v>-302505.98044898198</v>
      </c>
      <c r="G304" s="11">
        <f t="shared" si="60"/>
        <v>-308679.68440546066</v>
      </c>
      <c r="H304" s="11">
        <f t="shared" si="60"/>
        <v>-315232.79342249269</v>
      </c>
      <c r="I304" s="11">
        <f t="shared" si="60"/>
        <v>-322116.23249826184</v>
      </c>
      <c r="J304" s="11">
        <f t="shared" si="60"/>
        <v>-329292.37312799104</v>
      </c>
    </row>
    <row r="305" spans="1:10" x14ac:dyDescent="0.4">
      <c r="A305" s="11" t="s">
        <v>52</v>
      </c>
      <c r="B305" s="11"/>
      <c r="C305" s="11">
        <f t="shared" si="60"/>
        <v>-192701.46135319298</v>
      </c>
      <c r="D305" s="11">
        <f t="shared" si="60"/>
        <v>-197270.35335745648</v>
      </c>
      <c r="E305" s="11">
        <f t="shared" si="60"/>
        <v>-202518.06432403237</v>
      </c>
      <c r="F305" s="11">
        <f t="shared" si="60"/>
        <v>-208338.61536490486</v>
      </c>
      <c r="G305" s="11">
        <f t="shared" si="60"/>
        <v>-214667.14838489419</v>
      </c>
      <c r="H305" s="11">
        <f t="shared" si="60"/>
        <v>-221459.57676827567</v>
      </c>
      <c r="I305" s="11">
        <f t="shared" si="60"/>
        <v>-228683.85360249609</v>
      </c>
      <c r="J305" s="11">
        <f t="shared" si="60"/>
        <v>-236315.57109627128</v>
      </c>
    </row>
    <row r="306" spans="1:10" x14ac:dyDescent="0.4">
      <c r="A306" s="11" t="s">
        <v>170</v>
      </c>
      <c r="B306" s="11"/>
      <c r="C306" s="11">
        <f t="shared" si="60"/>
        <v>-528358.5341208413</v>
      </c>
      <c r="D306" s="11">
        <f t="shared" si="60"/>
        <v>-532852.31051456998</v>
      </c>
      <c r="E306" s="11">
        <f t="shared" si="60"/>
        <v>-537985.60395946482</v>
      </c>
      <c r="F306" s="11">
        <f t="shared" si="60"/>
        <v>-543641.16944238066</v>
      </c>
      <c r="G306" s="11">
        <f t="shared" si="60"/>
        <v>-549735.30130203301</v>
      </c>
      <c r="H306" s="11">
        <f t="shared" si="60"/>
        <v>-556206.2990786134</v>
      </c>
      <c r="I306" s="11">
        <f t="shared" si="60"/>
        <v>-563007.18802281679</v>
      </c>
      <c r="J306" s="11">
        <f t="shared" si="60"/>
        <v>-570101.20750608959</v>
      </c>
    </row>
    <row r="307" spans="1:10" x14ac:dyDescent="0.4">
      <c r="A307" s="11" t="s">
        <v>54</v>
      </c>
      <c r="B307" s="11"/>
      <c r="C307" s="11">
        <f t="shared" si="60"/>
        <v>-365749.77238376357</v>
      </c>
      <c r="D307" s="11">
        <f t="shared" si="60"/>
        <v>-368969.1336499973</v>
      </c>
      <c r="E307" s="11">
        <f t="shared" si="60"/>
        <v>-372838.24449129432</v>
      </c>
      <c r="F307" s="11">
        <f t="shared" si="60"/>
        <v>-377249.67586339184</v>
      </c>
      <c r="G307" s="11">
        <f t="shared" si="60"/>
        <v>-382131.36158160045</v>
      </c>
      <c r="H307" s="11">
        <f t="shared" si="60"/>
        <v>-387432.86065251741</v>
      </c>
      <c r="I307" s="11">
        <f t="shared" si="60"/>
        <v>-393121.03211064904</v>
      </c>
      <c r="J307" s="11">
        <f t="shared" si="60"/>
        <v>-399174.90432702593</v>
      </c>
    </row>
    <row r="308" spans="1:10" x14ac:dyDescent="0.4">
      <c r="A308" s="11" t="s">
        <v>171</v>
      </c>
      <c r="B308" s="11"/>
      <c r="C308" s="11">
        <f t="shared" si="60"/>
        <v>-525849.13366787042</v>
      </c>
      <c r="D308" s="11">
        <f t="shared" si="60"/>
        <v>-528056.75484851247</v>
      </c>
      <c r="E308" s="11">
        <f t="shared" si="60"/>
        <v>-530820.72378208512</v>
      </c>
      <c r="F308" s="11">
        <f t="shared" si="60"/>
        <v>-534053.34193361562</v>
      </c>
      <c r="G308" s="11">
        <f t="shared" si="60"/>
        <v>-537689.83141056949</v>
      </c>
      <c r="H308" s="11">
        <f t="shared" si="60"/>
        <v>-541681.49873432692</v>
      </c>
      <c r="I308" s="11">
        <f t="shared" si="60"/>
        <v>-545990.72886062891</v>
      </c>
      <c r="J308" s="11">
        <f t="shared" si="60"/>
        <v>-550587.71218889905</v>
      </c>
    </row>
    <row r="309" spans="1:10" x14ac:dyDescent="0.4">
      <c r="A309" s="11" t="s">
        <v>172</v>
      </c>
      <c r="B309" s="11"/>
      <c r="C309" s="11">
        <f t="shared" si="60"/>
        <v>-508548.11922174506</v>
      </c>
      <c r="D309" s="11">
        <f t="shared" si="60"/>
        <v>-515922.66227897425</v>
      </c>
      <c r="E309" s="11">
        <f t="shared" si="60"/>
        <v>-524010.28415967495</v>
      </c>
      <c r="F309" s="11">
        <f t="shared" si="60"/>
        <v>-532695.11368065584</v>
      </c>
      <c r="G309" s="11">
        <f t="shared" si="60"/>
        <v>-541901.94105997169</v>
      </c>
      <c r="H309" s="11">
        <f t="shared" si="60"/>
        <v>-551578.14107096952</v>
      </c>
      <c r="I309" s="11">
        <f t="shared" si="60"/>
        <v>-561684.97577637504</v>
      </c>
      <c r="J309" s="11">
        <f t="shared" si="60"/>
        <v>-572192.87142028846</v>
      </c>
    </row>
    <row r="310" spans="1:10" x14ac:dyDescent="0.4">
      <c r="A310" s="11" t="s">
        <v>207</v>
      </c>
      <c r="B310" s="11"/>
      <c r="C310" s="11">
        <f t="shared" si="60"/>
        <v>-404006.18881105189</v>
      </c>
      <c r="D310" s="11">
        <f t="shared" si="60"/>
        <v>-407580.92308601516</v>
      </c>
      <c r="E310" s="11">
        <f t="shared" si="60"/>
        <v>-411779.70828233165</v>
      </c>
      <c r="F310" s="11">
        <f t="shared" si="60"/>
        <v>-416508.69997431093</v>
      </c>
      <c r="G310" s="11">
        <f t="shared" si="60"/>
        <v>-421701.50139218976</v>
      </c>
      <c r="H310" s="11">
        <f t="shared" si="60"/>
        <v>-427307.92562641983</v>
      </c>
      <c r="I310" s="11">
        <f t="shared" si="60"/>
        <v>-433288.06582239683</v>
      </c>
      <c r="J310" s="11">
        <f t="shared" si="60"/>
        <v>-439608.92882092594</v>
      </c>
    </row>
    <row r="311" spans="1:10" x14ac:dyDescent="0.4">
      <c r="A311" s="11" t="s">
        <v>53</v>
      </c>
      <c r="B311" s="11"/>
      <c r="C311" s="11">
        <f t="shared" si="60"/>
        <v>-674775.78970171267</v>
      </c>
      <c r="D311" s="11">
        <f t="shared" si="60"/>
        <v>-678887.17260721966</v>
      </c>
      <c r="E311" s="11">
        <f t="shared" si="60"/>
        <v>-683665.49249605194</v>
      </c>
      <c r="F311" s="11">
        <f t="shared" si="60"/>
        <v>-688995.14523803478</v>
      </c>
      <c r="G311" s="11">
        <f t="shared" si="60"/>
        <v>-694797.28986219014</v>
      </c>
      <c r="H311" s="11">
        <f t="shared" si="60"/>
        <v>-701015.10021629778</v>
      </c>
      <c r="I311" s="11">
        <f t="shared" si="60"/>
        <v>-707605.8523365889</v>
      </c>
      <c r="J311" s="11">
        <f t="shared" si="60"/>
        <v>-714536.36334121134</v>
      </c>
    </row>
    <row r="312" spans="1:10" x14ac:dyDescent="0.4">
      <c r="A312" s="11" t="s">
        <v>208</v>
      </c>
      <c r="B312" s="11"/>
      <c r="C312" s="11">
        <f t="shared" si="60"/>
        <v>-364833.43411758798</v>
      </c>
      <c r="D312" s="11">
        <f t="shared" si="60"/>
        <v>-368537.70488535048</v>
      </c>
      <c r="E312" s="11">
        <f t="shared" si="60"/>
        <v>-372883.76995452773</v>
      </c>
      <c r="F312" s="11">
        <f t="shared" si="60"/>
        <v>-377755.86419622711</v>
      </c>
      <c r="G312" s="11">
        <f t="shared" si="60"/>
        <v>-383075.2000147744</v>
      </c>
      <c r="H312" s="11">
        <f t="shared" si="60"/>
        <v>-388784.76563202351</v>
      </c>
      <c r="I312" s="11">
        <f t="shared" si="60"/>
        <v>-394841.37764069432</v>
      </c>
      <c r="J312" s="11">
        <f t="shared" si="60"/>
        <v>-401211.16015864909</v>
      </c>
    </row>
    <row r="313" spans="1:10" x14ac:dyDescent="0.4">
      <c r="A313" s="11" t="s">
        <v>209</v>
      </c>
      <c r="B313" s="11"/>
      <c r="C313" s="11">
        <f t="shared" si="60"/>
        <v>-407050.89433891291</v>
      </c>
      <c r="D313" s="11">
        <f t="shared" si="60"/>
        <v>-412003.2124421075</v>
      </c>
      <c r="E313" s="11">
        <f t="shared" si="60"/>
        <v>-417610.07404633419</v>
      </c>
      <c r="F313" s="11">
        <f t="shared" si="60"/>
        <v>-423749.68834639044</v>
      </c>
      <c r="G313" s="11">
        <f t="shared" si="60"/>
        <v>-430343.79910658603</v>
      </c>
      <c r="H313" s="11">
        <f t="shared" si="60"/>
        <v>-437340.4843217982</v>
      </c>
      <c r="I313" s="11">
        <f t="shared" si="60"/>
        <v>-444704.77800599684</v>
      </c>
      <c r="J313" s="11">
        <f t="shared" si="60"/>
        <v>-452410.87535395101</v>
      </c>
    </row>
    <row r="314" spans="1:10" x14ac:dyDescent="0.4">
      <c r="A314" s="11" t="s">
        <v>51</v>
      </c>
      <c r="B314" s="11"/>
      <c r="C314" s="11">
        <f t="shared" si="60"/>
        <v>-106170.25744767376</v>
      </c>
      <c r="D314" s="11">
        <f t="shared" si="60"/>
        <v>-114345.70217250616</v>
      </c>
      <c r="E314" s="11">
        <f t="shared" si="60"/>
        <v>-123305.76557424257</v>
      </c>
      <c r="F314" s="11">
        <f t="shared" si="60"/>
        <v>-132880.34506230685</v>
      </c>
      <c r="G314" s="11">
        <f t="shared" si="60"/>
        <v>-142964.15051284037</v>
      </c>
      <c r="H314" s="11">
        <f t="shared" si="60"/>
        <v>-153485.14694399276</v>
      </c>
      <c r="I314" s="11">
        <f t="shared" si="60"/>
        <v>-164391.05898074998</v>
      </c>
      <c r="J314" s="11">
        <f t="shared" si="60"/>
        <v>-175642.56014043238</v>
      </c>
    </row>
    <row r="320" spans="1:10" x14ac:dyDescent="0.4">
      <c r="A320" s="66" t="s">
        <v>234</v>
      </c>
      <c r="B320" s="66"/>
      <c r="C320" s="66"/>
      <c r="D320" s="66"/>
      <c r="E320" s="66"/>
      <c r="F320" s="66"/>
      <c r="G320" s="66"/>
      <c r="H320" s="66"/>
      <c r="I320" s="66"/>
      <c r="J320" s="66"/>
    </row>
    <row r="321" spans="1:10" x14ac:dyDescent="0.4">
      <c r="A321" s="11" t="s">
        <v>20</v>
      </c>
      <c r="B321" s="11" t="s">
        <v>19</v>
      </c>
      <c r="C321" s="11" t="s">
        <v>43</v>
      </c>
      <c r="D321" s="11" t="s">
        <v>44</v>
      </c>
      <c r="E321" s="11" t="s">
        <v>45</v>
      </c>
      <c r="F321" s="11" t="s">
        <v>46</v>
      </c>
      <c r="G321" s="11" t="s">
        <v>47</v>
      </c>
      <c r="H321" s="11" t="s">
        <v>48</v>
      </c>
      <c r="I321" s="11" t="s">
        <v>49</v>
      </c>
      <c r="J321" s="11" t="s">
        <v>50</v>
      </c>
    </row>
    <row r="322" spans="1:10" x14ac:dyDescent="0.4">
      <c r="A322" s="11" t="s">
        <v>111</v>
      </c>
      <c r="B322" s="65" t="s">
        <v>138</v>
      </c>
      <c r="C322" s="11">
        <f t="shared" ref="C322:J322" si="61">C209+(C300+2*C301+C302)/4</f>
        <v>-406300.33297427604</v>
      </c>
      <c r="D322" s="11">
        <f t="shared" si="61"/>
        <v>-412605.44958475034</v>
      </c>
      <c r="E322" s="11">
        <f t="shared" si="61"/>
        <v>-419863.61516940949</v>
      </c>
      <c r="F322" s="11">
        <f t="shared" si="61"/>
        <v>-426887.20836538251</v>
      </c>
      <c r="G322" s="11">
        <f t="shared" si="61"/>
        <v>-433450.89357087406</v>
      </c>
      <c r="H322" s="11">
        <f t="shared" si="61"/>
        <v>-440690.00375667994</v>
      </c>
      <c r="I322" s="11">
        <f t="shared" si="61"/>
        <v>-447957.22302722471</v>
      </c>
      <c r="J322" s="11">
        <f t="shared" si="61"/>
        <v>-458069.44554430613</v>
      </c>
    </row>
    <row r="323" spans="1:10" x14ac:dyDescent="0.4">
      <c r="A323" s="11" t="s">
        <v>116</v>
      </c>
      <c r="B323" s="65" t="s">
        <v>136</v>
      </c>
      <c r="C323" s="11">
        <f t="shared" ref="C323:J323" si="62">C210+(C303+C304+2*C302)/4</f>
        <v>-520726.81340873556</v>
      </c>
      <c r="D323" s="11">
        <f t="shared" si="62"/>
        <v>-523445.91363024845</v>
      </c>
      <c r="E323" s="11">
        <f t="shared" si="62"/>
        <v>-526902.91056338779</v>
      </c>
      <c r="F323" s="11">
        <f t="shared" si="62"/>
        <v>-529979.57719401631</v>
      </c>
      <c r="G323" s="11">
        <f t="shared" si="62"/>
        <v>-535910.58841417963</v>
      </c>
      <c r="H323" s="11">
        <f t="shared" si="62"/>
        <v>-539838.41180796386</v>
      </c>
      <c r="I323" s="11">
        <f t="shared" si="62"/>
        <v>-546060.33341575053</v>
      </c>
      <c r="J323" s="11">
        <f t="shared" si="62"/>
        <v>-551874.9277990968</v>
      </c>
    </row>
    <row r="324" spans="1:10" x14ac:dyDescent="0.4">
      <c r="A324" s="11" t="s">
        <v>117</v>
      </c>
      <c r="B324" s="65" t="s">
        <v>137</v>
      </c>
      <c r="C324" s="11">
        <f t="shared" ref="C324:J324" si="63">C211+(C303+C301+2*C302)/4</f>
        <v>-503092.94833551021</v>
      </c>
      <c r="D324" s="11">
        <f t="shared" si="63"/>
        <v>-507697.57098552323</v>
      </c>
      <c r="E324" s="11">
        <f t="shared" si="63"/>
        <v>-510759.23574462673</v>
      </c>
      <c r="F324" s="11">
        <f t="shared" si="63"/>
        <v>-516329.42887161206</v>
      </c>
      <c r="G324" s="11">
        <f t="shared" si="63"/>
        <v>-523281.44072280778</v>
      </c>
      <c r="H324" s="11">
        <f t="shared" si="63"/>
        <v>-528264.73571972921</v>
      </c>
      <c r="I324" s="11">
        <f t="shared" si="63"/>
        <v>-535194.73574610159</v>
      </c>
      <c r="J324" s="11">
        <f t="shared" si="63"/>
        <v>-540973.42745072558</v>
      </c>
    </row>
    <row r="325" spans="1:10" x14ac:dyDescent="0.4">
      <c r="A325" s="11" t="s">
        <v>118</v>
      </c>
      <c r="B325" s="65" t="s">
        <v>65</v>
      </c>
      <c r="C325" s="11">
        <f t="shared" ref="C325:J325" si="64">C212+(3*B186+10*B189)/13</f>
        <v>-232466.42230769235</v>
      </c>
      <c r="D325" s="11">
        <f t="shared" si="64"/>
        <v>-237078.4030769231</v>
      </c>
      <c r="E325" s="11">
        <f t="shared" si="64"/>
        <v>-241804.32923076925</v>
      </c>
      <c r="F325" s="11">
        <f t="shared" si="64"/>
        <v>-245585.34384615388</v>
      </c>
      <c r="G325" s="11">
        <f t="shared" si="64"/>
        <v>-251630.10384615386</v>
      </c>
      <c r="H325" s="11">
        <f t="shared" si="64"/>
        <v>-258648.71076923079</v>
      </c>
      <c r="I325" s="11">
        <f t="shared" si="64"/>
        <v>-264176.93538461538</v>
      </c>
      <c r="J325" s="11">
        <f t="shared" si="64"/>
        <v>-271291.18769230763</v>
      </c>
    </row>
    <row r="326" spans="1:10" x14ac:dyDescent="0.4">
      <c r="A326" s="11" t="s">
        <v>115</v>
      </c>
      <c r="B326" s="13" t="s">
        <v>125</v>
      </c>
      <c r="C326" s="11">
        <f t="shared" ref="C326:J326" si="65">C202+(C305+2*C306+2*C302)/5</f>
        <v>-600932.20338278846</v>
      </c>
      <c r="D326" s="11">
        <f t="shared" si="65"/>
        <v>-603334.44479407743</v>
      </c>
      <c r="E326" s="11">
        <f t="shared" si="65"/>
        <v>-608795.99219953571</v>
      </c>
      <c r="F326" s="11">
        <f t="shared" si="65"/>
        <v>-612872.66780595935</v>
      </c>
      <c r="G326" s="11">
        <f t="shared" si="65"/>
        <v>-618918.64058415731</v>
      </c>
      <c r="H326" s="11">
        <f t="shared" si="65"/>
        <v>-624037.41099605616</v>
      </c>
      <c r="I326" s="11">
        <f t="shared" si="65"/>
        <v>-631297.24469443399</v>
      </c>
      <c r="J326" s="11">
        <f t="shared" si="65"/>
        <v>-636781.02786925586</v>
      </c>
    </row>
    <row r="327" spans="1:10" x14ac:dyDescent="0.4">
      <c r="A327" s="11" t="s">
        <v>108</v>
      </c>
      <c r="B327" s="65" t="s">
        <v>173</v>
      </c>
      <c r="C327" s="11">
        <f t="shared" ref="C327:J327" si="66">C195+(C309+C307*4+C308*2+C302)/8</f>
        <v>-529900.74496900919</v>
      </c>
      <c r="D327" s="11">
        <f t="shared" si="66"/>
        <v>-533946.42454598553</v>
      </c>
      <c r="E327" s="11">
        <f t="shared" si="66"/>
        <v>-537988.46613329765</v>
      </c>
      <c r="F327" s="11">
        <f t="shared" si="66"/>
        <v>-540576.94979893998</v>
      </c>
      <c r="G327" s="11">
        <f t="shared" si="66"/>
        <v>-545665.1713966782</v>
      </c>
      <c r="H327" s="11">
        <f t="shared" si="66"/>
        <v>-550715.26889713528</v>
      </c>
      <c r="I327" s="11">
        <f t="shared" si="66"/>
        <v>-555724.3304815311</v>
      </c>
      <c r="J327" s="11">
        <f t="shared" si="66"/>
        <v>-562489.8512156381</v>
      </c>
    </row>
    <row r="332" spans="1:10" x14ac:dyDescent="0.4">
      <c r="A332" s="66" t="s">
        <v>239</v>
      </c>
      <c r="B332" s="66"/>
      <c r="C332" s="66"/>
      <c r="D332" s="66"/>
      <c r="E332" s="66"/>
      <c r="F332" s="66"/>
      <c r="G332" s="66"/>
      <c r="H332" s="66"/>
      <c r="I332" s="66"/>
    </row>
    <row r="333" spans="1:10" x14ac:dyDescent="0.4">
      <c r="A333" s="11" t="s">
        <v>174</v>
      </c>
      <c r="B333" s="11"/>
      <c r="C333" s="11"/>
      <c r="D333" s="11"/>
      <c r="E333" s="11"/>
      <c r="F333" s="11"/>
      <c r="G333" s="11"/>
      <c r="H333" s="11"/>
      <c r="I333" s="11"/>
    </row>
    <row r="334" spans="1:10" x14ac:dyDescent="0.4">
      <c r="A334" s="11" t="s">
        <v>126</v>
      </c>
      <c r="B334" s="11" t="s">
        <v>176</v>
      </c>
      <c r="C334" s="11" t="s">
        <v>177</v>
      </c>
      <c r="D334" s="11" t="s">
        <v>178</v>
      </c>
      <c r="E334" s="11" t="s">
        <v>179</v>
      </c>
      <c r="F334" s="11" t="s">
        <v>180</v>
      </c>
      <c r="G334" s="11" t="s">
        <v>181</v>
      </c>
      <c r="H334" s="11" t="s">
        <v>182</v>
      </c>
      <c r="I334" s="11" t="s">
        <v>183</v>
      </c>
    </row>
    <row r="335" spans="1:10" x14ac:dyDescent="0.4">
      <c r="A335" s="11">
        <v>300</v>
      </c>
      <c r="B335" s="11">
        <v>-2805.0530282540499</v>
      </c>
      <c r="C335" s="11">
        <v>-6985.9222235007501</v>
      </c>
      <c r="D335" s="11">
        <v>-2269.9380451671</v>
      </c>
      <c r="E335" s="11">
        <v>-7885.7993391095251</v>
      </c>
      <c r="F335" s="11">
        <v>-5388.0441791275007</v>
      </c>
      <c r="G335" s="11">
        <v>-7588.9595435563506</v>
      </c>
      <c r="H335" s="11">
        <v>-7781.0645180284992</v>
      </c>
      <c r="I335" s="11">
        <v>-8248.8234486774254</v>
      </c>
    </row>
    <row r="336" spans="1:10" x14ac:dyDescent="0.4">
      <c r="A336" s="11">
        <v>400</v>
      </c>
      <c r="B336" s="11">
        <v>-2829.7337641540498</v>
      </c>
      <c r="C336" s="11">
        <v>-7054.4978672007501</v>
      </c>
      <c r="D336" s="11">
        <v>-2297.1388592670996</v>
      </c>
      <c r="E336" s="11">
        <v>-7948.9126511095255</v>
      </c>
      <c r="F336" s="11">
        <v>-5447.3442776275006</v>
      </c>
      <c r="G336" s="11">
        <v>-7664.7990729563508</v>
      </c>
      <c r="H336" s="11">
        <v>-7888.1604621284987</v>
      </c>
      <c r="I336" s="11">
        <v>-8334.1739752774247</v>
      </c>
    </row>
    <row r="337" spans="1:9" x14ac:dyDescent="0.4">
      <c r="A337" s="11">
        <v>500</v>
      </c>
      <c r="B337" s="11">
        <v>-2858.0994591540498</v>
      </c>
      <c r="C337" s="11">
        <v>-7132.6795011007498</v>
      </c>
      <c r="D337" s="11">
        <v>-2328.0546283670997</v>
      </c>
      <c r="E337" s="11">
        <v>-8021.8085570095254</v>
      </c>
      <c r="F337" s="11">
        <v>-5516.3705380275005</v>
      </c>
      <c r="G337" s="11">
        <v>-7751.5627397563503</v>
      </c>
      <c r="H337" s="11">
        <v>-8011.6117035284988</v>
      </c>
      <c r="I337" s="11">
        <v>-8431.1028004774253</v>
      </c>
    </row>
    <row r="338" spans="1:9" x14ac:dyDescent="0.4">
      <c r="A338" s="11">
        <v>600</v>
      </c>
      <c r="B338" s="11">
        <v>-2889.4299271540499</v>
      </c>
      <c r="C338" s="11">
        <v>-7218.5988973007497</v>
      </c>
      <c r="D338" s="11">
        <v>-2361.9504098671</v>
      </c>
      <c r="E338" s="11">
        <v>-8102.5880127095252</v>
      </c>
      <c r="F338" s="11">
        <v>-5593.2515754275</v>
      </c>
      <c r="G338" s="11">
        <v>-7847.1482192563508</v>
      </c>
      <c r="H338" s="11">
        <v>-8148.2867444284984</v>
      </c>
      <c r="I338" s="11">
        <v>-8537.3718563774255</v>
      </c>
    </row>
    <row r="339" spans="1:9" x14ac:dyDescent="0.4">
      <c r="A339" s="11">
        <v>700</v>
      </c>
      <c r="B339" s="11">
        <v>-2923.2384405540502</v>
      </c>
      <c r="C339" s="11">
        <v>-7310.9900151007505</v>
      </c>
      <c r="D339" s="11">
        <v>-2398.3330168671</v>
      </c>
      <c r="E339" s="11">
        <v>-8189.9625672095253</v>
      </c>
      <c r="F339" s="11">
        <v>-5676.7111025275008</v>
      </c>
      <c r="G339" s="11">
        <v>-7950.1222553563512</v>
      </c>
      <c r="H339" s="11">
        <v>-8296.0444755285007</v>
      </c>
      <c r="I339" s="11">
        <v>-8651.4596262774248</v>
      </c>
    </row>
    <row r="340" spans="1:9" x14ac:dyDescent="0.4">
      <c r="A340" s="11">
        <v>800</v>
      </c>
      <c r="B340" s="11">
        <v>-2959.1747581540499</v>
      </c>
      <c r="C340" s="11">
        <v>-7408.9403966007503</v>
      </c>
      <c r="D340" s="11">
        <v>-2436.8489422671</v>
      </c>
      <c r="E340" s="11">
        <v>-8283.0030699095259</v>
      </c>
      <c r="F340" s="11">
        <v>-5765.8261353275002</v>
      </c>
      <c r="G340" s="11">
        <v>-8059.4483904563504</v>
      </c>
      <c r="H340" s="11">
        <v>-8453.3340348285001</v>
      </c>
      <c r="I340" s="11">
        <v>-8772.2673471774251</v>
      </c>
    </row>
    <row r="341" spans="1:9" x14ac:dyDescent="0.4">
      <c r="A341" s="11">
        <v>900</v>
      </c>
      <c r="B341" s="11">
        <v>-2996.9750218540498</v>
      </c>
      <c r="C341" s="11">
        <v>-7511.7619487007505</v>
      </c>
      <c r="D341" s="11">
        <v>-2477.2325013670998</v>
      </c>
      <c r="E341" s="11">
        <v>-8381.0086078095264</v>
      </c>
      <c r="F341" s="11">
        <v>-5859.8992148275001</v>
      </c>
      <c r="G341" s="11">
        <v>-8174.3433957563502</v>
      </c>
      <c r="H341" s="11">
        <v>-8618.9822915285004</v>
      </c>
      <c r="I341" s="11">
        <v>-8898.9653605774256</v>
      </c>
    </row>
    <row r="342" spans="1:9" x14ac:dyDescent="0.4">
      <c r="A342" s="11">
        <v>1000</v>
      </c>
      <c r="B342" s="11">
        <v>-3036.4334085540499</v>
      </c>
      <c r="C342" s="11">
        <v>-7618.9175665007497</v>
      </c>
      <c r="D342" s="11">
        <v>-2519.2767701671</v>
      </c>
      <c r="E342" s="11">
        <v>-8483.4319549095253</v>
      </c>
      <c r="F342" s="11">
        <v>-5958.3851992275004</v>
      </c>
      <c r="G342" s="11">
        <v>-8294.1950648563507</v>
      </c>
      <c r="H342" s="11">
        <v>-8792.0716657284993</v>
      </c>
      <c r="I342" s="11">
        <v>-9030.9054880774256</v>
      </c>
    </row>
    <row r="344" spans="1:9" x14ac:dyDescent="0.4">
      <c r="A344" s="11" t="s">
        <v>174</v>
      </c>
      <c r="B344" s="11"/>
      <c r="C344" s="11"/>
      <c r="D344" s="11"/>
      <c r="E344" s="11"/>
      <c r="F344" s="11"/>
      <c r="G344" s="11"/>
      <c r="H344" s="11"/>
      <c r="I344" s="11"/>
    </row>
    <row r="345" spans="1:9" x14ac:dyDescent="0.4">
      <c r="A345" s="11" t="s">
        <v>126</v>
      </c>
      <c r="B345" s="11">
        <v>300</v>
      </c>
      <c r="C345" s="11">
        <v>400</v>
      </c>
      <c r="D345" s="11">
        <v>500</v>
      </c>
      <c r="E345" s="11">
        <v>600</v>
      </c>
      <c r="F345" s="11">
        <v>700</v>
      </c>
      <c r="G345" s="11">
        <v>800</v>
      </c>
      <c r="H345" s="11">
        <v>900</v>
      </c>
      <c r="I345" s="11">
        <v>1000</v>
      </c>
    </row>
    <row r="346" spans="1:9" x14ac:dyDescent="0.4">
      <c r="A346" s="11" t="s">
        <v>176</v>
      </c>
      <c r="B346" s="11">
        <v>-2805.0530282540499</v>
      </c>
      <c r="C346" s="11">
        <v>-2829.7337641540498</v>
      </c>
      <c r="D346" s="11">
        <v>-2858.0994591540498</v>
      </c>
      <c r="E346" s="11">
        <v>-2889.4299271540499</v>
      </c>
      <c r="F346" s="11">
        <v>-2923.2384405540502</v>
      </c>
      <c r="G346" s="11">
        <v>-2959.1747581540499</v>
      </c>
      <c r="H346" s="11">
        <v>-2996.9750218540498</v>
      </c>
      <c r="I346" s="11">
        <v>-3036.4334085540499</v>
      </c>
    </row>
    <row r="347" spans="1:9" x14ac:dyDescent="0.4">
      <c r="A347" s="11" t="s">
        <v>177</v>
      </c>
      <c r="B347" s="11">
        <v>-6985.9222235007501</v>
      </c>
      <c r="C347" s="11">
        <v>-7054.4978672007501</v>
      </c>
      <c r="D347" s="11">
        <v>-7132.6795011007498</v>
      </c>
      <c r="E347" s="11">
        <v>-7218.5988973007497</v>
      </c>
      <c r="F347" s="11">
        <v>-7310.9900151007505</v>
      </c>
      <c r="G347" s="11">
        <v>-7408.9403966007503</v>
      </c>
      <c r="H347" s="11">
        <v>-7511.7619487007505</v>
      </c>
      <c r="I347" s="11">
        <v>-7618.9175665007497</v>
      </c>
    </row>
    <row r="348" spans="1:9" x14ac:dyDescent="0.4">
      <c r="A348" s="11" t="s">
        <v>178</v>
      </c>
      <c r="B348" s="11">
        <v>-2269.9380451671</v>
      </c>
      <c r="C348" s="11">
        <v>-2297.1388592670996</v>
      </c>
      <c r="D348" s="11">
        <v>-2328.0546283670997</v>
      </c>
      <c r="E348" s="11">
        <v>-2361.9504098671</v>
      </c>
      <c r="F348" s="11">
        <v>-2398.3330168671</v>
      </c>
      <c r="G348" s="11">
        <v>-2436.8489422671</v>
      </c>
      <c r="H348" s="11">
        <v>-2477.2325013670998</v>
      </c>
      <c r="I348" s="11">
        <v>-2519.2767701671</v>
      </c>
    </row>
    <row r="349" spans="1:9" x14ac:dyDescent="0.4">
      <c r="A349" s="11" t="s">
        <v>179</v>
      </c>
      <c r="B349" s="11">
        <v>-7885.7993391095251</v>
      </c>
      <c r="C349" s="11">
        <v>-7948.9126511095255</v>
      </c>
      <c r="D349" s="11">
        <v>-8021.8085570095254</v>
      </c>
      <c r="E349" s="11">
        <v>-8102.5880127095252</v>
      </c>
      <c r="F349" s="11">
        <v>-8189.9625672095253</v>
      </c>
      <c r="G349" s="11">
        <v>-8283.0030699095259</v>
      </c>
      <c r="H349" s="11">
        <v>-8381.0086078095264</v>
      </c>
      <c r="I349" s="11">
        <v>-8483.4319549095253</v>
      </c>
    </row>
    <row r="350" spans="1:9" x14ac:dyDescent="0.4">
      <c r="A350" s="11" t="s">
        <v>180</v>
      </c>
      <c r="B350" s="11">
        <v>-5388.0441791275007</v>
      </c>
      <c r="C350" s="11">
        <v>-5447.3442776275006</v>
      </c>
      <c r="D350" s="11">
        <v>-5516.3705380275005</v>
      </c>
      <c r="E350" s="11">
        <v>-5593.2515754275</v>
      </c>
      <c r="F350" s="11">
        <v>-5676.7111025275008</v>
      </c>
      <c r="G350" s="11">
        <v>-5765.8261353275002</v>
      </c>
      <c r="H350" s="11">
        <v>-5859.8992148275001</v>
      </c>
      <c r="I350" s="11">
        <v>-5958.3851992275004</v>
      </c>
    </row>
    <row r="351" spans="1:9" x14ac:dyDescent="0.4">
      <c r="A351" s="11" t="s">
        <v>181</v>
      </c>
      <c r="B351" s="11">
        <v>-7588.9595435563506</v>
      </c>
      <c r="C351" s="11">
        <v>-7664.7990729563508</v>
      </c>
      <c r="D351" s="11">
        <v>-7751.5627397563503</v>
      </c>
      <c r="E351" s="11">
        <v>-7847.1482192563508</v>
      </c>
      <c r="F351" s="11">
        <v>-7950.1222553563512</v>
      </c>
      <c r="G351" s="11">
        <v>-8059.4483904563504</v>
      </c>
      <c r="H351" s="11">
        <v>-8174.3433957563502</v>
      </c>
      <c r="I351" s="11">
        <v>-8294.1950648563507</v>
      </c>
    </row>
    <row r="352" spans="1:9" x14ac:dyDescent="0.4">
      <c r="A352" s="11" t="s">
        <v>182</v>
      </c>
      <c r="B352" s="11">
        <v>-7781.0645180284992</v>
      </c>
      <c r="C352" s="11">
        <v>-7888.1604621284987</v>
      </c>
      <c r="D352" s="11">
        <v>-8011.6117035284988</v>
      </c>
      <c r="E352" s="11">
        <v>-8148.2867444284984</v>
      </c>
      <c r="F352" s="11">
        <v>-8296.0444755285007</v>
      </c>
      <c r="G352" s="11">
        <v>-8453.3340348285001</v>
      </c>
      <c r="H352" s="11">
        <v>-8618.9822915285004</v>
      </c>
      <c r="I352" s="11">
        <v>-8792.0716657284993</v>
      </c>
    </row>
    <row r="353" spans="1:10" x14ac:dyDescent="0.4">
      <c r="A353" s="11" t="s">
        <v>183</v>
      </c>
      <c r="B353" s="11">
        <v>-8248.8234486774254</v>
      </c>
      <c r="C353" s="11">
        <v>-8334.1739752774247</v>
      </c>
      <c r="D353" s="11">
        <v>-8431.1028004774253</v>
      </c>
      <c r="E353" s="11">
        <v>-8537.3718563774255</v>
      </c>
      <c r="F353" s="11">
        <v>-8651.4596262774248</v>
      </c>
      <c r="G353" s="11">
        <v>-8772.2673471774251</v>
      </c>
      <c r="H353" s="11">
        <v>-8898.9653605774256</v>
      </c>
      <c r="I353" s="11">
        <v>-9030.9054880774256</v>
      </c>
    </row>
    <row r="356" spans="1:10" x14ac:dyDescent="0.4">
      <c r="A356" s="11" t="s">
        <v>174</v>
      </c>
      <c r="B356" s="11"/>
      <c r="C356" s="67" t="s">
        <v>195</v>
      </c>
      <c r="D356" s="68"/>
      <c r="E356" s="68"/>
      <c r="F356" s="68"/>
      <c r="G356" s="68"/>
      <c r="H356" s="68"/>
      <c r="I356" s="68"/>
      <c r="J356" s="69"/>
    </row>
    <row r="357" spans="1:10" x14ac:dyDescent="0.4">
      <c r="A357" s="11" t="s">
        <v>240</v>
      </c>
      <c r="B357" s="11" t="s">
        <v>19</v>
      </c>
      <c r="C357" s="11">
        <v>300</v>
      </c>
      <c r="D357" s="11">
        <v>400</v>
      </c>
      <c r="E357" s="11">
        <v>500</v>
      </c>
      <c r="F357" s="11">
        <v>600</v>
      </c>
      <c r="G357" s="11">
        <v>700</v>
      </c>
      <c r="H357" s="11">
        <v>800</v>
      </c>
      <c r="I357" s="11">
        <v>900</v>
      </c>
      <c r="J357" s="11">
        <v>1000</v>
      </c>
    </row>
    <row r="358" spans="1:10" x14ac:dyDescent="0.4">
      <c r="A358" s="11">
        <v>126291</v>
      </c>
      <c r="B358" s="11" t="s">
        <v>185</v>
      </c>
      <c r="C358" s="11">
        <f>B346/6*1000</f>
        <v>-467508.83804234164</v>
      </c>
      <c r="D358" s="11">
        <f t="shared" ref="D358:J358" si="67">C346/6*1000</f>
        <v>-471622.29402567499</v>
      </c>
      <c r="E358" s="11">
        <f t="shared" si="67"/>
        <v>-476349.90985900827</v>
      </c>
      <c r="F358" s="11">
        <f t="shared" si="67"/>
        <v>-481571.654525675</v>
      </c>
      <c r="G358" s="11">
        <f t="shared" si="67"/>
        <v>-487206.40675900836</v>
      </c>
      <c r="H358" s="11">
        <f t="shared" si="67"/>
        <v>-493195.79302567494</v>
      </c>
      <c r="I358" s="11">
        <f t="shared" si="67"/>
        <v>-499495.83697567502</v>
      </c>
      <c r="J358" s="11">
        <f t="shared" si="67"/>
        <v>-506072.23475900834</v>
      </c>
    </row>
    <row r="359" spans="1:10" x14ac:dyDescent="0.4">
      <c r="A359" s="11">
        <v>129707</v>
      </c>
      <c r="B359" s="11" t="s">
        <v>186</v>
      </c>
      <c r="C359" s="11">
        <f>B347/16*1000</f>
        <v>-436620.13896879688</v>
      </c>
      <c r="D359" s="11">
        <f t="shared" ref="D359:J359" si="68">C347/16*1000</f>
        <v>-440906.11670004687</v>
      </c>
      <c r="E359" s="11">
        <f t="shared" si="68"/>
        <v>-445792.46881879686</v>
      </c>
      <c r="F359" s="11">
        <f t="shared" si="68"/>
        <v>-451162.43108129688</v>
      </c>
      <c r="G359" s="11">
        <f t="shared" si="68"/>
        <v>-456936.87594379688</v>
      </c>
      <c r="H359" s="11">
        <f t="shared" si="68"/>
        <v>-463058.77478754689</v>
      </c>
      <c r="I359" s="11">
        <f t="shared" si="68"/>
        <v>-469485.12179379689</v>
      </c>
      <c r="J359" s="11">
        <f t="shared" si="68"/>
        <v>-476182.34790629684</v>
      </c>
    </row>
    <row r="360" spans="1:10" x14ac:dyDescent="0.4">
      <c r="A360" s="11">
        <v>199420</v>
      </c>
      <c r="B360" s="11" t="s">
        <v>187</v>
      </c>
      <c r="C360" s="11">
        <f>B348/6*1000</f>
        <v>-378323.00752784999</v>
      </c>
      <c r="D360" s="11">
        <f t="shared" ref="D360:J360" si="69">C348/6*1000</f>
        <v>-382856.47654451663</v>
      </c>
      <c r="E360" s="11">
        <f t="shared" si="69"/>
        <v>-388009.10472784995</v>
      </c>
      <c r="F360" s="11">
        <f t="shared" si="69"/>
        <v>-393658.40164451668</v>
      </c>
      <c r="G360" s="11">
        <f t="shared" si="69"/>
        <v>-399722.16947785002</v>
      </c>
      <c r="H360" s="11">
        <f t="shared" si="69"/>
        <v>-406141.49037785002</v>
      </c>
      <c r="I360" s="11">
        <f t="shared" si="69"/>
        <v>-412872.0835611833</v>
      </c>
      <c r="J360" s="11">
        <f t="shared" si="69"/>
        <v>-419879.46169451671</v>
      </c>
    </row>
    <row r="361" spans="1:10" x14ac:dyDescent="0.4">
      <c r="A361" s="11">
        <v>259926</v>
      </c>
      <c r="B361" s="11" t="s">
        <v>188</v>
      </c>
      <c r="C361" s="11">
        <f>B349/16*1000</f>
        <v>-492862.45869434532</v>
      </c>
      <c r="D361" s="11">
        <f t="shared" ref="D361:J361" si="70">C349/16*1000</f>
        <v>-496807.04069434537</v>
      </c>
      <c r="E361" s="11">
        <f t="shared" si="70"/>
        <v>-501363.03481309535</v>
      </c>
      <c r="F361" s="11">
        <f t="shared" si="70"/>
        <v>-506411.75079434534</v>
      </c>
      <c r="G361" s="11">
        <f t="shared" si="70"/>
        <v>-511872.66045059531</v>
      </c>
      <c r="H361" s="11">
        <f t="shared" si="70"/>
        <v>-517687.69186934538</v>
      </c>
      <c r="I361" s="11">
        <f t="shared" si="70"/>
        <v>-523813.03798809543</v>
      </c>
      <c r="J361" s="11">
        <f t="shared" si="70"/>
        <v>-530214.49718184536</v>
      </c>
    </row>
    <row r="362" spans="1:10" x14ac:dyDescent="0.4">
      <c r="A362" s="11">
        <v>113851</v>
      </c>
      <c r="B362" s="11" t="s">
        <v>189</v>
      </c>
      <c r="C362" s="11">
        <f>B350/16*1000</f>
        <v>-336752.76119546877</v>
      </c>
      <c r="D362" s="11">
        <f t="shared" ref="D362:J362" si="71">C350/16*1000</f>
        <v>-340459.01735171879</v>
      </c>
      <c r="E362" s="11">
        <f t="shared" si="71"/>
        <v>-344773.1586267188</v>
      </c>
      <c r="F362" s="11">
        <f t="shared" si="71"/>
        <v>-349578.22346421872</v>
      </c>
      <c r="G362" s="11">
        <f t="shared" si="71"/>
        <v>-354794.44390796882</v>
      </c>
      <c r="H362" s="11">
        <f t="shared" si="71"/>
        <v>-360364.13345796877</v>
      </c>
      <c r="I362" s="11">
        <f t="shared" si="71"/>
        <v>-366243.70092671877</v>
      </c>
      <c r="J362" s="11">
        <f t="shared" si="71"/>
        <v>-372399.07495171879</v>
      </c>
    </row>
    <row r="363" spans="1:10" x14ac:dyDescent="0.4">
      <c r="A363" s="11">
        <v>11922</v>
      </c>
      <c r="B363" s="11" t="s">
        <v>190</v>
      </c>
      <c r="C363" s="11">
        <f>B351/18*1000</f>
        <v>-421608.86353090836</v>
      </c>
      <c r="D363" s="11">
        <f t="shared" ref="D363:J363" si="72">C351/18*1000</f>
        <v>-425822.17071979726</v>
      </c>
      <c r="E363" s="11">
        <f t="shared" si="72"/>
        <v>-430642.37443090836</v>
      </c>
      <c r="F363" s="11">
        <f t="shared" si="72"/>
        <v>-435952.67884757504</v>
      </c>
      <c r="G363" s="11">
        <f t="shared" si="72"/>
        <v>-441673.4586309084</v>
      </c>
      <c r="H363" s="11">
        <f t="shared" si="72"/>
        <v>-447747.13280313055</v>
      </c>
      <c r="I363" s="11">
        <f t="shared" si="72"/>
        <v>-454130.18865313055</v>
      </c>
      <c r="J363" s="11">
        <f t="shared" si="72"/>
        <v>-460788.6147142417</v>
      </c>
    </row>
    <row r="364" spans="1:10" x14ac:dyDescent="0.4">
      <c r="A364" s="11">
        <v>11924</v>
      </c>
      <c r="B364" s="11" t="s">
        <v>191</v>
      </c>
      <c r="C364" s="11">
        <f>B352/18*1000</f>
        <v>-432281.36211269442</v>
      </c>
      <c r="D364" s="11">
        <f t="shared" ref="D364:J364" si="73">C352/18*1000</f>
        <v>-438231.13678491663</v>
      </c>
      <c r="E364" s="11">
        <f t="shared" si="73"/>
        <v>-445089.53908491664</v>
      </c>
      <c r="F364" s="11">
        <f t="shared" si="73"/>
        <v>-452682.59691269434</v>
      </c>
      <c r="G364" s="11">
        <f t="shared" si="73"/>
        <v>-460891.35975158337</v>
      </c>
      <c r="H364" s="11">
        <f t="shared" si="73"/>
        <v>-469629.66860158334</v>
      </c>
      <c r="I364" s="11">
        <f t="shared" si="73"/>
        <v>-478832.34952936112</v>
      </c>
      <c r="J364" s="11">
        <f t="shared" si="73"/>
        <v>-488448.42587380548</v>
      </c>
    </row>
    <row r="365" spans="1:10" x14ac:dyDescent="0.4">
      <c r="A365" s="11">
        <v>120303</v>
      </c>
      <c r="B365" s="11" t="s">
        <v>192</v>
      </c>
      <c r="C365" s="11">
        <f>B353/19*1000</f>
        <v>-434148.60256196978</v>
      </c>
      <c r="D365" s="11">
        <f t="shared" ref="D365:J365" si="74">C353/19*1000</f>
        <v>-438640.73554091709</v>
      </c>
      <c r="E365" s="11">
        <f t="shared" si="74"/>
        <v>-443742.25265670655</v>
      </c>
      <c r="F365" s="11">
        <f t="shared" si="74"/>
        <v>-449335.36086196976</v>
      </c>
      <c r="G365" s="11">
        <f t="shared" si="74"/>
        <v>-455339.9803303908</v>
      </c>
      <c r="H365" s="11">
        <f t="shared" si="74"/>
        <v>-461698.28143039078</v>
      </c>
      <c r="I365" s="11">
        <f t="shared" si="74"/>
        <v>-468366.59792512766</v>
      </c>
      <c r="J365" s="11">
        <f t="shared" si="74"/>
        <v>-475310.81516196975</v>
      </c>
    </row>
    <row r="368" spans="1:10" x14ac:dyDescent="0.4">
      <c r="A368" s="66" t="s">
        <v>243</v>
      </c>
      <c r="B368" s="66"/>
      <c r="C368" s="66"/>
      <c r="D368" s="66"/>
      <c r="E368" s="66"/>
      <c r="F368" s="66"/>
      <c r="G368" s="66"/>
      <c r="H368" s="66"/>
      <c r="I368" s="66"/>
    </row>
    <row r="369" spans="1:9" x14ac:dyDescent="0.4">
      <c r="A369" s="58" t="s">
        <v>29</v>
      </c>
      <c r="B369" s="58">
        <v>300</v>
      </c>
      <c r="C369" s="58">
        <v>400</v>
      </c>
      <c r="D369" s="58">
        <v>500</v>
      </c>
      <c r="E369" s="58">
        <v>600</v>
      </c>
      <c r="F369" s="58">
        <v>700</v>
      </c>
      <c r="G369" s="58">
        <v>800</v>
      </c>
      <c r="H369" s="58">
        <v>900</v>
      </c>
      <c r="I369" s="58">
        <v>1000</v>
      </c>
    </row>
    <row r="370" spans="1:9" x14ac:dyDescent="0.4">
      <c r="A370" s="58" t="s">
        <v>30</v>
      </c>
      <c r="B370" s="58">
        <v>-530817.1</v>
      </c>
      <c r="C370" s="58">
        <v>-534516.30000000005</v>
      </c>
      <c r="D370" s="58">
        <v>-538870.5</v>
      </c>
      <c r="E370" s="58">
        <v>-543766.6</v>
      </c>
      <c r="F370" s="58">
        <v>-549129.4</v>
      </c>
      <c r="G370" s="58">
        <v>-554905.80000000005</v>
      </c>
      <c r="H370" s="58">
        <v>-561055.9</v>
      </c>
      <c r="I370" s="58">
        <v>-567548.80000000005</v>
      </c>
    </row>
    <row r="371" spans="1:9" x14ac:dyDescent="0.4">
      <c r="A371" s="58" t="s">
        <v>196</v>
      </c>
      <c r="B371" s="5">
        <v>-407050.89433891291</v>
      </c>
      <c r="C371" s="5">
        <v>-412003.2124421075</v>
      </c>
      <c r="D371" s="5">
        <v>-417610.07404633419</v>
      </c>
      <c r="E371" s="5">
        <v>-423749.68834639044</v>
      </c>
      <c r="F371" s="5">
        <v>-430343.79910658603</v>
      </c>
      <c r="G371" s="5">
        <v>-437340.4843217982</v>
      </c>
      <c r="H371" s="5">
        <v>-444704.77800599684</v>
      </c>
      <c r="I371" s="5">
        <v>-452410.87535395101</v>
      </c>
    </row>
    <row r="372" spans="1:9" x14ac:dyDescent="0.4">
      <c r="A372" s="58" t="s">
        <v>197</v>
      </c>
      <c r="B372" s="58">
        <v>-287097.00165759306</v>
      </c>
      <c r="C372" s="58">
        <v>-291593.27206533984</v>
      </c>
      <c r="D372" s="58">
        <v>-296778.44714944548</v>
      </c>
      <c r="E372" s="58">
        <v>-302505.98044898198</v>
      </c>
      <c r="F372" s="58">
        <v>-308679.68440546066</v>
      </c>
      <c r="G372" s="58">
        <v>-315232.79342249269</v>
      </c>
      <c r="H372" s="58">
        <v>-322116.23249826184</v>
      </c>
      <c r="I372" s="58">
        <v>-329292.37312799104</v>
      </c>
    </row>
    <row r="373" spans="1:9" x14ac:dyDescent="0.4">
      <c r="A373" s="58" t="s">
        <v>198</v>
      </c>
      <c r="B373" s="58">
        <v>-706667.44365953328</v>
      </c>
      <c r="C373" s="58">
        <v>-710220.84979189548</v>
      </c>
      <c r="D373" s="58">
        <v>-714435.01937735826</v>
      </c>
      <c r="E373" s="58">
        <v>-719197.01739006536</v>
      </c>
      <c r="F373" s="58">
        <v>-724430.4009659132</v>
      </c>
      <c r="G373" s="58">
        <v>-730080.29002738942</v>
      </c>
      <c r="H373" s="58">
        <v>-736105.52191202017</v>
      </c>
      <c r="I373" s="58">
        <v>-742474.17661891447</v>
      </c>
    </row>
    <row r="374" spans="1:9" x14ac:dyDescent="0.4">
      <c r="A374" s="58" t="s">
        <v>199</v>
      </c>
      <c r="B374" s="5">
        <v>-364833.43411758798</v>
      </c>
      <c r="C374" s="5">
        <v>-368537.70488535048</v>
      </c>
      <c r="D374" s="5">
        <v>-372883.76995452773</v>
      </c>
      <c r="E374" s="5">
        <v>-377755.86419622711</v>
      </c>
      <c r="F374" s="5">
        <v>-383075.2000147744</v>
      </c>
      <c r="G374" s="5">
        <v>-388784.76563202351</v>
      </c>
      <c r="H374" s="5">
        <v>-394841.37764069432</v>
      </c>
      <c r="I374" s="5">
        <v>-401211.16015864909</v>
      </c>
    </row>
    <row r="375" spans="1:9" x14ac:dyDescent="0.4">
      <c r="A375" s="58" t="s">
        <v>200</v>
      </c>
      <c r="B375" s="5">
        <v>-674775.78970171267</v>
      </c>
      <c r="C375" s="5">
        <v>-678887.17260721966</v>
      </c>
      <c r="D375" s="5">
        <v>-683665.49249605194</v>
      </c>
      <c r="E375" s="5">
        <v>-688995.14523803478</v>
      </c>
      <c r="F375" s="5">
        <v>-694797.28986219014</v>
      </c>
      <c r="G375" s="5">
        <v>-701015.10021629778</v>
      </c>
      <c r="H375" s="5">
        <v>-707605.8523365889</v>
      </c>
      <c r="I375" s="5">
        <v>-714536.36334121134</v>
      </c>
    </row>
    <row r="376" spans="1:9" x14ac:dyDescent="0.4">
      <c r="A376" s="58" t="s">
        <v>201</v>
      </c>
      <c r="B376" s="58">
        <v>-150283.44465828274</v>
      </c>
      <c r="C376" s="58">
        <v>-153947.76287186309</v>
      </c>
      <c r="D376" s="58">
        <v>-158271.11634938919</v>
      </c>
      <c r="E376" s="58">
        <v>-163140.65354695261</v>
      </c>
      <c r="F376" s="58">
        <v>-168481.58731943139</v>
      </c>
      <c r="G376" s="58">
        <v>-174241.9937545842</v>
      </c>
      <c r="H376" s="58">
        <v>-180384.6173406998</v>
      </c>
      <c r="I376" s="58">
        <v>-186882.38483056729</v>
      </c>
    </row>
    <row r="377" spans="1:9" x14ac:dyDescent="0.4">
      <c r="A377" s="58" t="s">
        <v>202</v>
      </c>
      <c r="B377" s="58">
        <v>-12476.548327180501</v>
      </c>
      <c r="C377" s="58">
        <v>-17045.440331443999</v>
      </c>
      <c r="D377" s="58">
        <v>-22293.1512980199</v>
      </c>
      <c r="E377" s="58">
        <v>-28113.702338892399</v>
      </c>
      <c r="F377" s="58">
        <v>-34442.235358881699</v>
      </c>
      <c r="G377" s="58">
        <v>-41234.663742263197</v>
      </c>
      <c r="H377" s="58">
        <v>-48458.940576483597</v>
      </c>
      <c r="I377" s="58">
        <v>-56090.658070258803</v>
      </c>
    </row>
    <row r="378" spans="1:9" x14ac:dyDescent="0.4">
      <c r="A378" s="58" t="s">
        <v>203</v>
      </c>
      <c r="B378" s="58">
        <v>-196005.04550818808</v>
      </c>
      <c r="C378" s="58">
        <v>-202741.18557422818</v>
      </c>
      <c r="D378" s="58">
        <v>-210362.34555147708</v>
      </c>
      <c r="E378" s="58">
        <v>-218766.08175273499</v>
      </c>
      <c r="F378" s="58">
        <v>-227857.38603763608</v>
      </c>
      <c r="G378" s="58">
        <v>-237558.10686022218</v>
      </c>
      <c r="H378" s="58">
        <v>-247804.96655754608</v>
      </c>
      <c r="I378" s="58">
        <v>-258546.38208929778</v>
      </c>
    </row>
    <row r="379" spans="1:9" x14ac:dyDescent="0.4">
      <c r="A379" s="58" t="s">
        <v>204</v>
      </c>
      <c r="B379" s="58">
        <v>-257838.98136469099</v>
      </c>
      <c r="C379" s="58">
        <v>-264034.6214864389</v>
      </c>
      <c r="D379" s="58">
        <v>-270951.14787440124</v>
      </c>
      <c r="E379" s="58">
        <v>-278446.94715936482</v>
      </c>
      <c r="F379" s="58">
        <v>-286414.73363997345</v>
      </c>
      <c r="G379" s="58">
        <v>-294781.28906955401</v>
      </c>
      <c r="H379" s="58">
        <v>-303493.4418196663</v>
      </c>
      <c r="I379" s="58">
        <v>-312510.77173450612</v>
      </c>
    </row>
    <row r="380" spans="1:9" x14ac:dyDescent="0.4">
      <c r="A380" s="58" t="s">
        <v>205</v>
      </c>
      <c r="B380" s="5">
        <v>-404006.18881105189</v>
      </c>
      <c r="C380" s="5">
        <v>-407580.92308601516</v>
      </c>
      <c r="D380" s="5">
        <v>-411779.70828233165</v>
      </c>
      <c r="E380" s="5">
        <v>-416508.69997431093</v>
      </c>
      <c r="F380" s="5">
        <v>-421701.50139218976</v>
      </c>
      <c r="G380" s="5">
        <v>-427307.92562641983</v>
      </c>
      <c r="H380" s="5">
        <v>-433288.06582239683</v>
      </c>
      <c r="I380" s="5">
        <v>-439608.92882092594</v>
      </c>
    </row>
    <row r="381" spans="1:9" x14ac:dyDescent="0.4">
      <c r="A381" s="58" t="s">
        <v>206</v>
      </c>
      <c r="B381" s="5">
        <v>-106170.25744767376</v>
      </c>
      <c r="C381" s="5">
        <v>-114345.70217250616</v>
      </c>
      <c r="D381" s="5">
        <v>-123305.76557424257</v>
      </c>
      <c r="E381" s="5">
        <v>-132880.34506230685</v>
      </c>
      <c r="F381" s="5">
        <v>-142964.15051284037</v>
      </c>
      <c r="G381" s="5">
        <v>-153485.14694399276</v>
      </c>
      <c r="H381" s="5">
        <v>-164391.05898074998</v>
      </c>
      <c r="I381" s="5">
        <v>-175642.56014043238</v>
      </c>
    </row>
    <row r="387" spans="1:10" x14ac:dyDescent="0.4">
      <c r="A387" s="66" t="s">
        <v>245</v>
      </c>
      <c r="B387" s="66"/>
      <c r="C387" s="66"/>
      <c r="D387" s="66"/>
      <c r="E387" s="66"/>
      <c r="F387" s="66"/>
      <c r="G387" s="66"/>
      <c r="H387" s="66"/>
      <c r="I387" s="66"/>
      <c r="J387" s="66"/>
    </row>
    <row r="388" spans="1:10" x14ac:dyDescent="0.4">
      <c r="A388" s="58" t="s">
        <v>194</v>
      </c>
      <c r="B388" s="58" t="s">
        <v>19</v>
      </c>
      <c r="C388" s="58">
        <v>300</v>
      </c>
      <c r="D388" s="58">
        <v>400</v>
      </c>
      <c r="E388" s="58">
        <v>500</v>
      </c>
      <c r="F388" s="58">
        <v>600</v>
      </c>
      <c r="G388" s="58">
        <v>700</v>
      </c>
      <c r="H388" s="58">
        <v>800</v>
      </c>
      <c r="I388" s="58">
        <v>900</v>
      </c>
      <c r="J388" s="58">
        <v>1000</v>
      </c>
    </row>
    <row r="389" spans="1:10" x14ac:dyDescent="0.4">
      <c r="A389" s="64">
        <v>11924</v>
      </c>
      <c r="B389" s="58" t="s">
        <v>175</v>
      </c>
      <c r="C389" s="58">
        <v>-55363.438000000002</v>
      </c>
      <c r="D389" s="58">
        <v>-54584.491999999998</v>
      </c>
      <c r="E389" s="58">
        <v>-54851.605000000003</v>
      </c>
      <c r="F389" s="58">
        <v>-53384.843999999997</v>
      </c>
      <c r="G389" s="58">
        <v>-53738.273000000001</v>
      </c>
      <c r="H389" s="58">
        <v>-53686.093999999997</v>
      </c>
      <c r="I389" s="58">
        <v>-53789.226999999999</v>
      </c>
      <c r="J389" s="58">
        <v>-49987.995999999999</v>
      </c>
    </row>
    <row r="390" spans="1:10" x14ac:dyDescent="0.4">
      <c r="A390" s="64">
        <v>11922</v>
      </c>
      <c r="B390" s="58" t="s">
        <v>190</v>
      </c>
      <c r="C390" s="58">
        <v>-56636.906000000003</v>
      </c>
      <c r="D390" s="58">
        <v>-56210.07</v>
      </c>
      <c r="E390" s="58">
        <v>-57089.79</v>
      </c>
      <c r="F390" s="58">
        <v>-55067.605000000003</v>
      </c>
      <c r="G390" s="58">
        <v>-57040.54</v>
      </c>
      <c r="H390" s="58">
        <v>-56396.445</v>
      </c>
      <c r="I390" s="58">
        <v>-56372.72</v>
      </c>
      <c r="J390" s="58">
        <v>-51715.582000000002</v>
      </c>
    </row>
    <row r="391" spans="1:10" x14ac:dyDescent="0.4">
      <c r="A391" s="64">
        <v>113851</v>
      </c>
      <c r="B391" s="58" t="s">
        <v>189</v>
      </c>
      <c r="C391" s="58">
        <v>-37644.741999999998</v>
      </c>
      <c r="D391" s="58">
        <v>-33771.741999999998</v>
      </c>
      <c r="E391" s="58">
        <v>-36946.832000000002</v>
      </c>
      <c r="F391" s="58">
        <v>-36304.080000000002</v>
      </c>
      <c r="G391" s="58">
        <v>-33007.733999999997</v>
      </c>
      <c r="H391" s="58">
        <v>-35419.226999999999</v>
      </c>
      <c r="I391" s="58">
        <v>-32944.394999999997</v>
      </c>
      <c r="J391" s="58">
        <v>-33852.402000000002</v>
      </c>
    </row>
    <row r="392" spans="1:10" x14ac:dyDescent="0.4">
      <c r="A392" s="64">
        <v>259926</v>
      </c>
      <c r="B392" s="58" t="s">
        <v>188</v>
      </c>
      <c r="C392" s="58">
        <v>-10491.013999999999</v>
      </c>
      <c r="D392" s="58">
        <v>-9450.9110000000001</v>
      </c>
      <c r="E392" s="58">
        <v>-9721.982</v>
      </c>
      <c r="F392" s="58">
        <v>-9103.3240000000005</v>
      </c>
      <c r="G392" s="58">
        <v>-9304.1149999999998</v>
      </c>
      <c r="H392" s="58">
        <v>-8526.3539999999994</v>
      </c>
      <c r="I392" s="58">
        <v>-7768.7759999999998</v>
      </c>
      <c r="J392" s="58">
        <v>-7513.1509999999998</v>
      </c>
    </row>
    <row r="393" spans="1:10" x14ac:dyDescent="0.4">
      <c r="A393" s="64">
        <v>199420</v>
      </c>
      <c r="B393" s="58" t="s">
        <v>210</v>
      </c>
      <c r="C393" s="58">
        <v>-9338.0409999999993</v>
      </c>
      <c r="D393" s="58">
        <v>-8426.5580000000009</v>
      </c>
      <c r="E393" s="58">
        <v>-9614.24</v>
      </c>
      <c r="F393" s="58">
        <v>-9780.5409999999993</v>
      </c>
      <c r="G393" s="58">
        <v>-8980.9060000000009</v>
      </c>
      <c r="H393" s="58">
        <v>-10018.85</v>
      </c>
      <c r="I393" s="58">
        <v>-9671.4650000000001</v>
      </c>
      <c r="J393" s="58">
        <v>-10417.814</v>
      </c>
    </row>
    <row r="394" spans="1:10" x14ac:dyDescent="0.4">
      <c r="A394" s="64">
        <v>129707</v>
      </c>
      <c r="B394" s="58" t="s">
        <v>186</v>
      </c>
      <c r="C394" s="58">
        <v>-37188.699999999997</v>
      </c>
      <c r="D394" s="58">
        <v>-35357.991999999998</v>
      </c>
      <c r="E394" s="58">
        <v>-35817.438000000002</v>
      </c>
      <c r="F394" s="58">
        <v>-35803.472999999998</v>
      </c>
      <c r="G394" s="58">
        <v>-33757.089999999997</v>
      </c>
      <c r="H394" s="58">
        <v>-33615.292999999998</v>
      </c>
      <c r="I394" s="58">
        <v>-33181.72</v>
      </c>
      <c r="J394" s="58">
        <v>-34319.311999999998</v>
      </c>
    </row>
    <row r="395" spans="1:10" x14ac:dyDescent="0.4">
      <c r="A395" s="64">
        <v>126291</v>
      </c>
      <c r="B395" s="58" t="s">
        <v>211</v>
      </c>
      <c r="C395" s="58">
        <v>-20190.258000000002</v>
      </c>
      <c r="D395" s="58">
        <v>-19407.844000000001</v>
      </c>
      <c r="E395" s="58">
        <v>-19387.150000000001</v>
      </c>
      <c r="F395" s="58">
        <v>-18547.842000000001</v>
      </c>
      <c r="G395" s="58">
        <v>-18905.634999999998</v>
      </c>
      <c r="H395" s="58">
        <v>-18620.032999999999</v>
      </c>
      <c r="I395" s="58">
        <v>-17684.47</v>
      </c>
      <c r="J395" s="58">
        <v>-17070.934000000001</v>
      </c>
    </row>
    <row r="396" spans="1:10" x14ac:dyDescent="0.4">
      <c r="A396" s="64">
        <v>120303</v>
      </c>
      <c r="B396" s="58" t="s">
        <v>192</v>
      </c>
      <c r="C396" s="58">
        <v>-57489.97</v>
      </c>
      <c r="D396" s="58">
        <v>-58281.616999999998</v>
      </c>
      <c r="E396" s="58">
        <v>-57718.438000000002</v>
      </c>
      <c r="F396" s="58">
        <v>-56731.824000000001</v>
      </c>
      <c r="G396" s="58">
        <v>-55158.561999999998</v>
      </c>
      <c r="H396" s="58">
        <v>-56201.445</v>
      </c>
      <c r="I396" s="58">
        <v>-55930.542999999998</v>
      </c>
      <c r="J396" s="58">
        <v>-54017.586000000003</v>
      </c>
    </row>
    <row r="402" spans="1:10" x14ac:dyDescent="0.4">
      <c r="A402" s="66" t="s">
        <v>244</v>
      </c>
      <c r="B402" s="66"/>
      <c r="C402" s="66"/>
      <c r="D402" s="66"/>
      <c r="E402" s="66"/>
      <c r="F402" s="66"/>
      <c r="G402" s="66"/>
      <c r="H402" s="66"/>
      <c r="I402" s="66"/>
      <c r="J402" s="66"/>
    </row>
    <row r="403" spans="1:10" x14ac:dyDescent="0.4">
      <c r="A403" s="58" t="s">
        <v>194</v>
      </c>
      <c r="B403" s="58" t="s">
        <v>19</v>
      </c>
      <c r="C403" s="58">
        <v>300</v>
      </c>
      <c r="D403" s="58">
        <v>400</v>
      </c>
      <c r="E403" s="58">
        <v>500</v>
      </c>
      <c r="F403" s="58">
        <v>600</v>
      </c>
      <c r="G403" s="58">
        <v>700</v>
      </c>
      <c r="H403" s="58">
        <v>800</v>
      </c>
      <c r="I403" s="58">
        <v>900</v>
      </c>
      <c r="J403" s="58">
        <v>1000</v>
      </c>
    </row>
    <row r="404" spans="1:10" x14ac:dyDescent="0.4">
      <c r="A404" s="64">
        <v>11924</v>
      </c>
      <c r="B404" s="58" t="s">
        <v>175</v>
      </c>
      <c r="C404" s="11">
        <f t="shared" ref="C404:J404" si="75">C389+(B378+3*B374+B372+4*B380)/9</f>
        <v>-410210.89408475033</v>
      </c>
      <c r="D404" s="11">
        <f t="shared" si="75"/>
        <v>-413503.52140440897</v>
      </c>
      <c r="E404" s="11">
        <f t="shared" si="75"/>
        <v>-418508.37563264801</v>
      </c>
      <c r="F404" s="11">
        <f t="shared" si="75"/>
        <v>-422337.56118751573</v>
      </c>
      <c r="G404" s="11">
        <f t="shared" si="75"/>
        <v>-428468.12589513103</v>
      </c>
      <c r="H404" s="11">
        <f t="shared" si="75"/>
        <v>-434616.86063160718</v>
      </c>
      <c r="I404" s="11">
        <f t="shared" si="75"/>
        <v>-441300.07091860875</v>
      </c>
      <c r="J404" s="11">
        <f t="shared" si="75"/>
        <v>-444422.21277521551</v>
      </c>
    </row>
    <row r="405" spans="1:10" x14ac:dyDescent="0.4">
      <c r="A405" s="64">
        <v>11922</v>
      </c>
      <c r="B405" s="58" t="s">
        <v>190</v>
      </c>
      <c r="C405" s="10">
        <f t="shared" ref="C405:J405" si="76">C390+(B378+3*B374+B379+4*B380)/9</f>
        <v>-408233.47094109451</v>
      </c>
      <c r="D405" s="10">
        <f t="shared" si="76"/>
        <v>-412067.02711786435</v>
      </c>
      <c r="E405" s="10">
        <f t="shared" si="76"/>
        <v>-417876.86071319861</v>
      </c>
      <c r="F405" s="10">
        <f t="shared" si="76"/>
        <v>-421347.09626644722</v>
      </c>
      <c r="G405" s="10">
        <f t="shared" si="76"/>
        <v>-429296.50947674346</v>
      </c>
      <c r="H405" s="10">
        <f t="shared" si="76"/>
        <v>-435054.82225905848</v>
      </c>
      <c r="I405" s="10">
        <f t="shared" si="76"/>
        <v>-441814.36495432025</v>
      </c>
      <c r="J405" s="10">
        <f t="shared" si="76"/>
        <v>-444285.17639816162</v>
      </c>
    </row>
    <row r="406" spans="1:10" x14ac:dyDescent="0.4">
      <c r="A406" s="64">
        <v>113851</v>
      </c>
      <c r="B406" s="58" t="s">
        <v>189</v>
      </c>
      <c r="C406" s="11">
        <f t="shared" ref="C406:J406" si="77">C391+(B377+B373+2*B376)/4</f>
        <v>-292572.46232581983</v>
      </c>
      <c r="D406" s="11">
        <f t="shared" si="77"/>
        <v>-292562.19596676645</v>
      </c>
      <c r="E406" s="11">
        <f t="shared" si="77"/>
        <v>-300264.43284353911</v>
      </c>
      <c r="F406" s="11">
        <f t="shared" si="77"/>
        <v>-304702.08670571574</v>
      </c>
      <c r="G406" s="11">
        <f t="shared" si="77"/>
        <v>-306966.68674091442</v>
      </c>
      <c r="H406" s="11">
        <f t="shared" si="77"/>
        <v>-315368.96231970529</v>
      </c>
      <c r="I406" s="11">
        <f t="shared" si="77"/>
        <v>-319277.81929247588</v>
      </c>
      <c r="J406" s="11">
        <f t="shared" si="77"/>
        <v>-326934.80308757699</v>
      </c>
    </row>
    <row r="407" spans="1:10" x14ac:dyDescent="0.4">
      <c r="A407" s="64">
        <v>259926</v>
      </c>
      <c r="B407" s="65" t="s">
        <v>188</v>
      </c>
      <c r="C407" s="11">
        <f t="shared" ref="C407:J407" si="78">C392+(B375+3*B371)/4</f>
        <v>-484473.13217961293</v>
      </c>
      <c r="D407" s="11">
        <f t="shared" si="78"/>
        <v>-488175.11348338559</v>
      </c>
      <c r="E407" s="11">
        <f t="shared" si="78"/>
        <v>-493845.91065876366</v>
      </c>
      <c r="F407" s="11">
        <f t="shared" si="78"/>
        <v>-499164.37656930159</v>
      </c>
      <c r="G407" s="11">
        <f t="shared" si="78"/>
        <v>-505761.28679548705</v>
      </c>
      <c r="H407" s="11">
        <f t="shared" si="78"/>
        <v>-511785.49229542312</v>
      </c>
      <c r="I407" s="11">
        <f t="shared" si="78"/>
        <v>-518198.82258864486</v>
      </c>
      <c r="J407" s="11">
        <f t="shared" si="78"/>
        <v>-525455.39835076605</v>
      </c>
    </row>
    <row r="408" spans="1:10" x14ac:dyDescent="0.4">
      <c r="A408" s="64">
        <v>199420</v>
      </c>
      <c r="B408" s="65" t="s">
        <v>210</v>
      </c>
      <c r="C408" s="11">
        <f t="shared" ref="C408:J408" si="79">C393+(2*B374+B371)/3</f>
        <v>-388243.96185802959</v>
      </c>
      <c r="D408" s="11">
        <f t="shared" si="79"/>
        <v>-391452.76540426956</v>
      </c>
      <c r="E408" s="11">
        <f t="shared" si="79"/>
        <v>-397406.77798512991</v>
      </c>
      <c r="F408" s="11">
        <f t="shared" si="79"/>
        <v>-402867.67991294828</v>
      </c>
      <c r="G408" s="11">
        <f t="shared" si="79"/>
        <v>-407812.30571204494</v>
      </c>
      <c r="H408" s="11">
        <f t="shared" si="79"/>
        <v>-414988.85519528174</v>
      </c>
      <c r="I408" s="11">
        <f t="shared" si="79"/>
        <v>-421133.97609579517</v>
      </c>
      <c r="J408" s="11">
        <f t="shared" si="79"/>
        <v>-428695.54589041643</v>
      </c>
    </row>
    <row r="409" spans="1:10" x14ac:dyDescent="0.4">
      <c r="A409" s="64">
        <v>129707</v>
      </c>
      <c r="B409" s="65" t="s">
        <v>186</v>
      </c>
      <c r="C409" s="11">
        <f t="shared" ref="C409:J409" si="80">C394+(3*B372+B373)/4</f>
        <v>-429178.31215807813</v>
      </c>
      <c r="D409" s="11">
        <f t="shared" si="80"/>
        <v>-431608.15849697869</v>
      </c>
      <c r="E409" s="11">
        <f t="shared" si="80"/>
        <v>-437010.02820642368</v>
      </c>
      <c r="F409" s="11">
        <f t="shared" si="80"/>
        <v>-442482.21268425282</v>
      </c>
      <c r="G409" s="11">
        <f t="shared" si="80"/>
        <v>-446374.45354557375</v>
      </c>
      <c r="H409" s="11">
        <f t="shared" si="80"/>
        <v>-452559.96057371685</v>
      </c>
      <c r="I409" s="11">
        <f t="shared" si="80"/>
        <v>-458795.27485170146</v>
      </c>
      <c r="J409" s="11">
        <f t="shared" si="80"/>
        <v>-466907.13600072189</v>
      </c>
    </row>
    <row r="410" spans="1:10" x14ac:dyDescent="0.4">
      <c r="A410" s="64">
        <v>126291</v>
      </c>
      <c r="B410" s="65" t="s">
        <v>211</v>
      </c>
      <c r="C410" s="11">
        <f t="shared" ref="C410:J410" si="81">C395+(B370+2*B371)/3</f>
        <v>-468496.55422594189</v>
      </c>
      <c r="D410" s="11">
        <f t="shared" si="81"/>
        <v>-472248.75229473831</v>
      </c>
      <c r="E410" s="11">
        <f t="shared" si="81"/>
        <v>-477417.36603088951</v>
      </c>
      <c r="F410" s="11">
        <f t="shared" si="81"/>
        <v>-482303.16756426031</v>
      </c>
      <c r="G410" s="11">
        <f t="shared" si="81"/>
        <v>-488844.63440439064</v>
      </c>
      <c r="H410" s="11">
        <f t="shared" si="81"/>
        <v>-495148.95588119881</v>
      </c>
      <c r="I410" s="11">
        <f t="shared" si="81"/>
        <v>-501172.95533733128</v>
      </c>
      <c r="J410" s="11">
        <f t="shared" si="81"/>
        <v>-507861.1175693007</v>
      </c>
    </row>
    <row r="411" spans="1:10" x14ac:dyDescent="0.4">
      <c r="A411" s="64">
        <v>120303</v>
      </c>
      <c r="B411" s="58" t="s">
        <v>192</v>
      </c>
      <c r="C411" s="11">
        <f t="shared" ref="C411:J411" si="82">C396+(2*B381+3*B378+2*B374+2*B371+10*B380)/19</f>
        <v>-393499.76981281221</v>
      </c>
      <c r="D411" s="11">
        <f t="shared" si="82"/>
        <v>-399008.24997804023</v>
      </c>
      <c r="E411" s="11">
        <f t="shared" si="82"/>
        <v>-403849.14003305038</v>
      </c>
      <c r="F411" s="11">
        <f t="shared" si="82"/>
        <v>-408845.35243216652</v>
      </c>
      <c r="G411" s="11">
        <f t="shared" si="82"/>
        <v>-413756.11312122142</v>
      </c>
      <c r="H411" s="11">
        <f t="shared" si="82"/>
        <v>-421726.41187581548</v>
      </c>
      <c r="I411" s="11">
        <f t="shared" si="82"/>
        <v>-428781.59495534154</v>
      </c>
      <c r="J411" s="11">
        <f t="shared" si="82"/>
        <v>-434557.46104122204</v>
      </c>
    </row>
    <row r="415" spans="1:10" x14ac:dyDescent="0.4">
      <c r="A415" s="66" t="s">
        <v>246</v>
      </c>
      <c r="B415" s="66"/>
      <c r="C415" s="66"/>
      <c r="D415" s="66"/>
      <c r="E415" s="66"/>
      <c r="F415" s="66"/>
      <c r="G415" s="66"/>
      <c r="H415" s="66"/>
      <c r="I415" s="66"/>
      <c r="J415" s="66"/>
    </row>
    <row r="416" spans="1:10" x14ac:dyDescent="0.4">
      <c r="A416" s="11" t="s">
        <v>193</v>
      </c>
      <c r="B416" s="11" t="s">
        <v>18</v>
      </c>
      <c r="C416" s="11">
        <v>300</v>
      </c>
      <c r="D416" s="11">
        <v>400</v>
      </c>
      <c r="E416" s="11">
        <v>500</v>
      </c>
      <c r="F416" s="11">
        <v>600</v>
      </c>
      <c r="G416" s="11">
        <v>700</v>
      </c>
      <c r="H416" s="11">
        <v>800</v>
      </c>
      <c r="I416" s="11">
        <v>900</v>
      </c>
      <c r="J416" s="11">
        <v>1000</v>
      </c>
    </row>
    <row r="417" spans="1:10" x14ac:dyDescent="0.4">
      <c r="A417" s="11">
        <v>126291</v>
      </c>
      <c r="B417" s="65" t="s">
        <v>211</v>
      </c>
      <c r="C417" s="11">
        <v>-467508.83804234164</v>
      </c>
      <c r="D417" s="11">
        <v>-471622.29402567499</v>
      </c>
      <c r="E417" s="11">
        <v>-476349.90985900827</v>
      </c>
      <c r="F417" s="11">
        <v>-481571.654525675</v>
      </c>
      <c r="G417" s="11">
        <v>-487206.40675900836</v>
      </c>
      <c r="H417" s="11">
        <v>-493195.79302567494</v>
      </c>
      <c r="I417" s="11">
        <v>-499495.83697567502</v>
      </c>
      <c r="J417" s="11">
        <v>-506072.23475900834</v>
      </c>
    </row>
    <row r="418" spans="1:10" x14ac:dyDescent="0.4">
      <c r="A418" s="11">
        <v>129707</v>
      </c>
      <c r="B418" s="65" t="s">
        <v>247</v>
      </c>
      <c r="C418" s="11">
        <v>-436620.13896879688</v>
      </c>
      <c r="D418" s="11">
        <v>-440906.11670004687</v>
      </c>
      <c r="E418" s="11">
        <v>-445792.46881879686</v>
      </c>
      <c r="F418" s="11">
        <v>-451162.43108129688</v>
      </c>
      <c r="G418" s="11">
        <v>-456936.87594379688</v>
      </c>
      <c r="H418" s="11">
        <v>-463058.77478754689</v>
      </c>
      <c r="I418" s="11">
        <v>-469485.12179379689</v>
      </c>
      <c r="J418" s="11">
        <v>-476182.34790629684</v>
      </c>
    </row>
    <row r="419" spans="1:10" x14ac:dyDescent="0.4">
      <c r="A419" s="11">
        <v>199420</v>
      </c>
      <c r="B419" s="65" t="s">
        <v>210</v>
      </c>
      <c r="C419" s="11">
        <v>-378323.00752784999</v>
      </c>
      <c r="D419" s="11">
        <v>-382856.47654451663</v>
      </c>
      <c r="E419" s="11">
        <v>-388009.10472784995</v>
      </c>
      <c r="F419" s="11">
        <v>-393658.40164451668</v>
      </c>
      <c r="G419" s="11">
        <v>-399722.16947785002</v>
      </c>
      <c r="H419" s="11">
        <v>-406141.49037785002</v>
      </c>
      <c r="I419" s="11">
        <v>-412872.0835611833</v>
      </c>
      <c r="J419" s="11">
        <v>-419879.46169451671</v>
      </c>
    </row>
    <row r="420" spans="1:10" x14ac:dyDescent="0.4">
      <c r="A420" s="11">
        <v>259926</v>
      </c>
      <c r="B420" s="65" t="s">
        <v>248</v>
      </c>
      <c r="C420" s="11">
        <v>-492862.45869434532</v>
      </c>
      <c r="D420" s="11">
        <v>-496807.04069434537</v>
      </c>
      <c r="E420" s="11">
        <v>-501363.03481309535</v>
      </c>
      <c r="F420" s="11">
        <v>-506411.75079434534</v>
      </c>
      <c r="G420" s="11">
        <v>-511872.66045059531</v>
      </c>
      <c r="H420" s="11">
        <v>-517687.69186934538</v>
      </c>
      <c r="I420" s="11">
        <v>-523813.03798809543</v>
      </c>
      <c r="J420" s="11">
        <v>-530214.49718184536</v>
      </c>
    </row>
    <row r="421" spans="1:10" x14ac:dyDescent="0.4">
      <c r="A421" s="11">
        <v>113851</v>
      </c>
      <c r="B421" s="11" t="s">
        <v>189</v>
      </c>
      <c r="C421" s="11">
        <v>-336752.76119546877</v>
      </c>
      <c r="D421" s="11">
        <v>-340459.01735171879</v>
      </c>
      <c r="E421" s="11">
        <v>-344773.1586267188</v>
      </c>
      <c r="F421" s="11">
        <v>-349578.22346421872</v>
      </c>
      <c r="G421" s="11">
        <v>-354794.44390796882</v>
      </c>
      <c r="H421" s="11">
        <v>-360364.13345796877</v>
      </c>
      <c r="I421" s="11">
        <v>-366243.70092671877</v>
      </c>
      <c r="J421" s="11">
        <v>-372399.07495171879</v>
      </c>
    </row>
    <row r="422" spans="1:10" x14ac:dyDescent="0.4">
      <c r="A422" s="11">
        <v>11922</v>
      </c>
      <c r="B422" s="11" t="s">
        <v>190</v>
      </c>
      <c r="C422" s="11">
        <v>-421608.86353090836</v>
      </c>
      <c r="D422" s="11">
        <v>-425822.17071979726</v>
      </c>
      <c r="E422" s="11">
        <v>-430642.37443090836</v>
      </c>
      <c r="F422" s="11">
        <v>-435952.67884757504</v>
      </c>
      <c r="G422" s="11">
        <v>-441673.4586309084</v>
      </c>
      <c r="H422" s="11">
        <v>-447747.13280313055</v>
      </c>
      <c r="I422" s="11">
        <v>-454130.18865313055</v>
      </c>
      <c r="J422" s="11">
        <v>-460788.6147142417</v>
      </c>
    </row>
    <row r="423" spans="1:10" x14ac:dyDescent="0.4">
      <c r="A423" s="11">
        <v>11924</v>
      </c>
      <c r="B423" s="11" t="s">
        <v>191</v>
      </c>
      <c r="C423" s="11">
        <v>-432281.36211269442</v>
      </c>
      <c r="D423" s="11">
        <v>-438231.13678491663</v>
      </c>
      <c r="E423" s="11">
        <v>-445089.53908491664</v>
      </c>
      <c r="F423" s="11">
        <v>-452682.59691269434</v>
      </c>
      <c r="G423" s="11">
        <v>-460891.35975158337</v>
      </c>
      <c r="H423" s="11">
        <v>-469629.66860158334</v>
      </c>
      <c r="I423" s="11">
        <v>-478832.34952936112</v>
      </c>
      <c r="J423" s="11">
        <v>-488448.42587380548</v>
      </c>
    </row>
    <row r="424" spans="1:10" x14ac:dyDescent="0.4">
      <c r="A424" s="11">
        <v>120303</v>
      </c>
      <c r="B424" s="11" t="s">
        <v>192</v>
      </c>
      <c r="C424" s="11">
        <v>-434148.60256196978</v>
      </c>
      <c r="D424" s="11">
        <v>-438640.73554091709</v>
      </c>
      <c r="E424" s="11">
        <v>-443742.25265670655</v>
      </c>
      <c r="F424" s="11">
        <v>-449335.36086196976</v>
      </c>
      <c r="G424" s="11">
        <v>-455339.9803303908</v>
      </c>
      <c r="H424" s="11">
        <v>-461698.28143039078</v>
      </c>
      <c r="I424" s="11">
        <v>-468366.59792512766</v>
      </c>
      <c r="J424" s="11">
        <v>-475310.81516196975</v>
      </c>
    </row>
  </sheetData>
  <mergeCells count="29">
    <mergeCell ref="K236:K240"/>
    <mergeCell ref="V73:AC73"/>
    <mergeCell ref="A101:J101"/>
    <mergeCell ref="L101:U101"/>
    <mergeCell ref="L141:U141"/>
    <mergeCell ref="L156:U156"/>
    <mergeCell ref="L124:U124"/>
    <mergeCell ref="A170:J170"/>
    <mergeCell ref="L170:U170"/>
    <mergeCell ref="A193:J193"/>
    <mergeCell ref="J33:Q33"/>
    <mergeCell ref="J52:Q52"/>
    <mergeCell ref="J73:Q73"/>
    <mergeCell ref="A115:I115"/>
    <mergeCell ref="A183:I183"/>
    <mergeCell ref="A387:J387"/>
    <mergeCell ref="A402:J402"/>
    <mergeCell ref="A415:J415"/>
    <mergeCell ref="A298:J298"/>
    <mergeCell ref="A320:J320"/>
    <mergeCell ref="A332:I332"/>
    <mergeCell ref="C356:J356"/>
    <mergeCell ref="A368:I368"/>
    <mergeCell ref="A207:J207"/>
    <mergeCell ref="A222:I222"/>
    <mergeCell ref="A253:C253"/>
    <mergeCell ref="A276:J276"/>
    <mergeCell ref="A124:J124"/>
    <mergeCell ref="A156:J15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2026-03-05T12:47:37Z</dcterms:modified>
</cp:coreProperties>
</file>