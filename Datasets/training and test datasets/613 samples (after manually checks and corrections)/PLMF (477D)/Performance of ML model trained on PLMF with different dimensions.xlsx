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毕设课题学习\毕设课题学习\毕设论文代码和数据集\数据集\训练和测试数据\613个数据（检查识别、公式和磁性项后）\PLMF描述符（477维）\"/>
    </mc:Choice>
  </mc:AlternateContent>
  <xr:revisionPtr revIDLastSave="0" documentId="13_ncr:1_{5481D988-A887-4F9F-AF23-531EEC5AC79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K8" i="1"/>
  <c r="J8" i="1"/>
  <c r="I8" i="1"/>
  <c r="H8" i="1"/>
  <c r="K7" i="1"/>
  <c r="J7" i="1"/>
  <c r="I7" i="1"/>
  <c r="H7" i="1"/>
  <c r="K6" i="1"/>
  <c r="H6" i="1"/>
  <c r="I6" i="1"/>
  <c r="J6" i="1"/>
  <c r="L3" i="1"/>
  <c r="H4" i="1" s="1"/>
  <c r="K4" i="1"/>
  <c r="H5" i="1"/>
  <c r="I5" i="1"/>
  <c r="J5" i="1"/>
  <c r="K5" i="1"/>
  <c r="I3" i="1"/>
  <c r="J3" i="1"/>
  <c r="K3" i="1"/>
  <c r="J4" i="1" l="1"/>
  <c r="I4" i="1"/>
</calcChain>
</file>

<file path=xl/sharedStrings.xml><?xml version="1.0" encoding="utf-8"?>
<sst xmlns="http://schemas.openxmlformats.org/spreadsheetml/2006/main" count="14" uniqueCount="10">
  <si>
    <t>PLMF维度</t>
    <phoneticPr fontId="1" type="noConversion"/>
  </si>
  <si>
    <t>训练集MAE</t>
    <phoneticPr fontId="1" type="noConversion"/>
  </si>
  <si>
    <t>训练集RMSE</t>
    <phoneticPr fontId="1" type="noConversion"/>
  </si>
  <si>
    <t>测试集MAE</t>
    <phoneticPr fontId="1" type="noConversion"/>
  </si>
  <si>
    <t>测试集RMSE</t>
    <phoneticPr fontId="1" type="noConversion"/>
  </si>
  <si>
    <t>训练集R2</t>
    <phoneticPr fontId="1" type="noConversion"/>
  </si>
  <si>
    <t>测试集R2</t>
    <phoneticPr fontId="1" type="noConversion"/>
  </si>
  <si>
    <t>J/mol</t>
    <phoneticPr fontId="1" type="noConversion"/>
  </si>
  <si>
    <t>单位</t>
    <phoneticPr fontId="1" type="noConversion"/>
  </si>
  <si>
    <t>meV/atom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</si>
</sst>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Sheet1!$H$2</c:f>
              <c:strCache>
                <c:ptCount val="1"/>
                <c:pt idx="0">
                  <c:v>训练集MAE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Sheet1!$A$3:$A$8</c:f>
              <c:numCache>
                <c:formatCode>General</c:formatCode>
                <c:ptCount val="6"/>
                <c:pt idx="0">
                  <c:v>477</c:v>
                </c:pt>
                <c:pt idx="1">
                  <c:v>400</c:v>
                </c:pt>
                <c:pt idx="2">
                  <c:v>300</c:v>
                </c:pt>
                <c:pt idx="3">
                  <c:v>200</c:v>
                </c:pt>
                <c:pt idx="4">
                  <c:v>100</c:v>
                </c:pt>
                <c:pt idx="5">
                  <c:v>20</c:v>
                </c:pt>
              </c:numCache>
            </c:numRef>
          </c:cat>
          <c:val>
            <c:numRef>
              <c:f>Sheet1!$H$3:$H$8</c:f>
              <c:numCache>
                <c:formatCode>General</c:formatCode>
                <c:ptCount val="6"/>
                <c:pt idx="0">
                  <c:v>39.36465543008967</c:v>
                </c:pt>
                <c:pt idx="1">
                  <c:v>38.694733477250082</c:v>
                </c:pt>
                <c:pt idx="2">
                  <c:v>36.946299402191961</c:v>
                </c:pt>
                <c:pt idx="3">
                  <c:v>37.464814845566252</c:v>
                </c:pt>
                <c:pt idx="4">
                  <c:v>28.291239621388243</c:v>
                </c:pt>
                <c:pt idx="5">
                  <c:v>54.177604616406512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19-4038-A927-1E89EDCD8124}"/>
            </c:ext>
          </c:extLst>
        </c:ser>
        <c:ser>
          <c:idx val="3"/>
          <c:order val="3"/>
          <c:tx>
            <c:strRef>
              <c:f>Sheet1!$I$2</c:f>
              <c:strCache>
                <c:ptCount val="1"/>
                <c:pt idx="0">
                  <c:v>训练集RMSE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Sheet1!$A$3:$A$8</c:f>
              <c:numCache>
                <c:formatCode>General</c:formatCode>
                <c:ptCount val="6"/>
                <c:pt idx="0">
                  <c:v>477</c:v>
                </c:pt>
                <c:pt idx="1">
                  <c:v>400</c:v>
                </c:pt>
                <c:pt idx="2">
                  <c:v>300</c:v>
                </c:pt>
                <c:pt idx="3">
                  <c:v>200</c:v>
                </c:pt>
                <c:pt idx="4">
                  <c:v>100</c:v>
                </c:pt>
                <c:pt idx="5">
                  <c:v>20</c:v>
                </c:pt>
              </c:numCache>
            </c:numRef>
          </c:cat>
          <c:val>
            <c:numRef>
              <c:f>Sheet1!$I$3:$I$8</c:f>
              <c:numCache>
                <c:formatCode>General</c:formatCode>
                <c:ptCount val="6"/>
                <c:pt idx="0">
                  <c:v>57.966915476585854</c:v>
                </c:pt>
                <c:pt idx="1">
                  <c:v>57.211956991032878</c:v>
                </c:pt>
                <c:pt idx="2">
                  <c:v>55.318338591829956</c:v>
                </c:pt>
                <c:pt idx="3">
                  <c:v>56.505738957157092</c:v>
                </c:pt>
                <c:pt idx="4">
                  <c:v>46.149948522085687</c:v>
                </c:pt>
                <c:pt idx="5">
                  <c:v>79.423084523414147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19-4038-A927-1E89EDCD8124}"/>
            </c:ext>
          </c:extLst>
        </c:ser>
        <c:ser>
          <c:idx val="4"/>
          <c:order val="4"/>
          <c:tx>
            <c:strRef>
              <c:f>Sheet1!$J$2</c:f>
              <c:strCache>
                <c:ptCount val="1"/>
                <c:pt idx="0">
                  <c:v>测试集MAE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Sheet1!$A$3:$A$8</c:f>
              <c:numCache>
                <c:formatCode>General</c:formatCode>
                <c:ptCount val="6"/>
                <c:pt idx="0">
                  <c:v>477</c:v>
                </c:pt>
                <c:pt idx="1">
                  <c:v>400</c:v>
                </c:pt>
                <c:pt idx="2">
                  <c:v>300</c:v>
                </c:pt>
                <c:pt idx="3">
                  <c:v>200</c:v>
                </c:pt>
                <c:pt idx="4">
                  <c:v>100</c:v>
                </c:pt>
                <c:pt idx="5">
                  <c:v>20</c:v>
                </c:pt>
              </c:numCache>
            </c:numRef>
          </c:cat>
          <c:val>
            <c:numRef>
              <c:f>Sheet1!$J$3:$J$8</c:f>
              <c:numCache>
                <c:formatCode>General</c:formatCode>
                <c:ptCount val="6"/>
                <c:pt idx="0">
                  <c:v>81.240999667884424</c:v>
                </c:pt>
                <c:pt idx="1">
                  <c:v>81.4131467950847</c:v>
                </c:pt>
                <c:pt idx="2">
                  <c:v>79.524713550315511</c:v>
                </c:pt>
                <c:pt idx="3">
                  <c:v>79.415825307206902</c:v>
                </c:pt>
                <c:pt idx="4">
                  <c:v>71.206688807705078</c:v>
                </c:pt>
                <c:pt idx="5">
                  <c:v>82.956248754566587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19-4038-A927-1E89EDCD8124}"/>
            </c:ext>
          </c:extLst>
        </c:ser>
        <c:ser>
          <c:idx val="5"/>
          <c:order val="5"/>
          <c:tx>
            <c:strRef>
              <c:f>Sheet1!$K$2</c:f>
              <c:strCache>
                <c:ptCount val="1"/>
                <c:pt idx="0">
                  <c:v>测试集RMSE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Sheet1!$A$3:$A$8</c:f>
              <c:numCache>
                <c:formatCode>General</c:formatCode>
                <c:ptCount val="6"/>
                <c:pt idx="0">
                  <c:v>477</c:v>
                </c:pt>
                <c:pt idx="1">
                  <c:v>400</c:v>
                </c:pt>
                <c:pt idx="2">
                  <c:v>300</c:v>
                </c:pt>
                <c:pt idx="3">
                  <c:v>200</c:v>
                </c:pt>
                <c:pt idx="4">
                  <c:v>100</c:v>
                </c:pt>
                <c:pt idx="5">
                  <c:v>20</c:v>
                </c:pt>
              </c:numCache>
            </c:numRef>
          </c:cat>
          <c:val>
            <c:numRef>
              <c:f>Sheet1!$K$3:$K$8</c:f>
              <c:numCache>
                <c:formatCode>General</c:formatCode>
                <c:ptCount val="6"/>
                <c:pt idx="0">
                  <c:v>105.99907505812023</c:v>
                </c:pt>
                <c:pt idx="1">
                  <c:v>106.07892643639987</c:v>
                </c:pt>
                <c:pt idx="2">
                  <c:v>104.41967701760213</c:v>
                </c:pt>
                <c:pt idx="3">
                  <c:v>104.38960312188642</c:v>
                </c:pt>
                <c:pt idx="4">
                  <c:v>97.752605446695455</c:v>
                </c:pt>
                <c:pt idx="5">
                  <c:v>108.03476668880771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19-4038-A927-1E89EDCD8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9463791"/>
        <c:axId val="1929466671"/>
      </c:barChart>
      <c:lineChart>
        <c:grouping val="standar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训练集R2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Sheet1!$A$3:$A$8</c:f>
              <c:numCache>
                <c:formatCode>General</c:formatCode>
                <c:ptCount val="6"/>
                <c:pt idx="0">
                  <c:v>477</c:v>
                </c:pt>
                <c:pt idx="1">
                  <c:v>400</c:v>
                </c:pt>
                <c:pt idx="2">
                  <c:v>300</c:v>
                </c:pt>
                <c:pt idx="3">
                  <c:v>200</c:v>
                </c:pt>
                <c:pt idx="4">
                  <c:v>100</c:v>
                </c:pt>
                <c:pt idx="5">
                  <c:v>20</c:v>
                </c:pt>
              </c:numCache>
            </c:numRef>
          </c:cat>
          <c:val>
            <c:numRef>
              <c:f>Sheet1!$F$3:$F$8</c:f>
              <c:numCache>
                <c:formatCode>General</c:formatCode>
                <c:ptCount val="6"/>
                <c:pt idx="0">
                  <c:v>0.95099999999999996</c:v>
                </c:pt>
                <c:pt idx="1">
                  <c:v>0.95299999999999996</c:v>
                </c:pt>
                <c:pt idx="2">
                  <c:v>0.95599999999999996</c:v>
                </c:pt>
                <c:pt idx="3">
                  <c:v>0.95399999999999996</c:v>
                </c:pt>
                <c:pt idx="4">
                  <c:v>0.96899999999999997</c:v>
                </c:pt>
                <c:pt idx="5">
                  <c:v>0.90900000000000003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19-4038-A927-1E89EDCD8124}"/>
            </c:ext>
          </c:extLst>
        </c:ser>
        <c:ser>
          <c:idx val="1"/>
          <c:order val="1"/>
          <c:tx>
            <c:strRef>
              <c:f>Sheet1!$G$2</c:f>
              <c:strCache>
                <c:ptCount val="1"/>
                <c:pt idx="0">
                  <c:v>测试集R2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Sheet1!$A$3:$A$8</c:f>
              <c:numCache>
                <c:formatCode>General</c:formatCode>
                <c:ptCount val="6"/>
                <c:pt idx="0">
                  <c:v>477</c:v>
                </c:pt>
                <c:pt idx="1">
                  <c:v>400</c:v>
                </c:pt>
                <c:pt idx="2">
                  <c:v>300</c:v>
                </c:pt>
                <c:pt idx="3">
                  <c:v>200</c:v>
                </c:pt>
                <c:pt idx="4">
                  <c:v>100</c:v>
                </c:pt>
                <c:pt idx="5">
                  <c:v>20</c:v>
                </c:pt>
              </c:numCache>
            </c:numRef>
          </c:cat>
          <c:val>
            <c:numRef>
              <c:f>Sheet1!$G$3:$G$8</c:f>
              <c:numCache>
                <c:formatCode>General</c:formatCode>
                <c:ptCount val="6"/>
                <c:pt idx="0">
                  <c:v>0.83</c:v>
                </c:pt>
                <c:pt idx="1">
                  <c:v>0.82899999999999996</c:v>
                </c:pt>
                <c:pt idx="2">
                  <c:v>0.83499999999999996</c:v>
                </c:pt>
                <c:pt idx="3">
                  <c:v>0.83499999999999996</c:v>
                </c:pt>
                <c:pt idx="4">
                  <c:v>0.85499999999999998</c:v>
                </c:pt>
                <c:pt idx="5">
                  <c:v>0.82299999999999995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19-4038-A927-1E89EDCD8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474831"/>
        <c:axId val="1929476751"/>
      </c:lineChart>
      <c:catAx>
        <c:axId val="1929463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特征向量维度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9466671"/>
        <c:crosses val="autoZero"/>
        <c:auto val="1"/>
        <c:lblAlgn val="ctr"/>
        <c:lblOffset val="100"/>
        <c:noMultiLvlLbl val="0"/>
      </c:catAx>
      <c:valAx>
        <c:axId val="19294666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MAE/RMSE(eV/atom)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9463791"/>
        <c:crosses val="autoZero"/>
        <c:crossBetween val="between"/>
      </c:valAx>
      <c:valAx>
        <c:axId val="192947675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R2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9474831"/>
        <c:crosses val="max"/>
        <c:crossBetween val="between"/>
      </c:valAx>
      <c:catAx>
        <c:axId val="19294748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9476751"/>
        <c:crosses val="autoZero"/>
        <c:auto val="1"/>
        <c:lblAlgn val="ctr"/>
        <c:lblOffset val="100"/>
        <c:noMultiLvlLbl val="0"/>
      </c:catAx>
      <c:spPr>
        <a:noFill/>
        <a:ln w="1905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544114</xdr:colOff>
      <xdr:row>10</xdr:row>
      <xdr:rowOff>166008</xdr:rowOff>
    </xdr:from>
    <xdr:to>
      <xdr:col>13</xdr:col>
      <xdr:colOff>233873</xdr:colOff>
      <xdr:row>28</xdr:row>
      <xdr:rowOff>163626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5D305FE-4090-B7BC-4A95-E3B2DDF50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112" zoomScaleNormal="112" workbookViewId="0">
      <selection activeCell="L5" sqref="L5"/>
    </sheetView>
  </sheetViews>
  <sheetFormatPr defaultRowHeight="13.9" x14ac:dyDescent="0.4"/>
  <cols>
    <col min="12" max="12" width="12.46484375" bestFit="1" customWidth="1"/>
  </cols>
  <sheetData>
    <row r="1" spans="1:12" x14ac:dyDescent="0.4">
      <c r="A1" t="s">
        <v>8</v>
      </c>
      <c r="B1" s="1" t="s">
        <v>7</v>
      </c>
      <c r="C1" s="1"/>
      <c r="D1" s="1"/>
      <c r="E1" s="1"/>
      <c r="H1" s="1" t="s">
        <v>9</v>
      </c>
      <c r="I1" s="1"/>
      <c r="J1" s="1"/>
      <c r="K1" s="1"/>
    </row>
    <row r="2" spans="1:12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</v>
      </c>
      <c r="I2" t="s">
        <v>2</v>
      </c>
      <c r="J2" t="s">
        <v>3</v>
      </c>
      <c r="K2" t="s">
        <v>4</v>
      </c>
    </row>
    <row r="3" spans="1:12" x14ac:dyDescent="0.4">
      <c r="A3">
        <v>477</v>
      </c>
      <c r="B3">
        <v>3795.9</v>
      </c>
      <c r="C3">
        <v>5589.7</v>
      </c>
      <c r="D3">
        <v>7834</v>
      </c>
      <c r="E3">
        <v>10221.4</v>
      </c>
      <c r="F3">
        <v>0.95099999999999996</v>
      </c>
      <c r="G3">
        <v>0.83</v>
      </c>
      <c r="H3">
        <f>B3*$L$3</f>
        <v>39.36465543008967</v>
      </c>
      <c r="I3">
        <f t="shared" ref="I3:K3" si="0">C3*$L$3</f>
        <v>57.966915476585854</v>
      </c>
      <c r="J3">
        <f t="shared" si="0"/>
        <v>81.240999667884424</v>
      </c>
      <c r="K3">
        <f t="shared" si="0"/>
        <v>105.99907505812023</v>
      </c>
      <c r="L3">
        <f>6.245*10^18/6.022/10^23*1000</f>
        <v>1.0370308867485885E-2</v>
      </c>
    </row>
    <row r="4" spans="1:12" x14ac:dyDescent="0.4">
      <c r="A4">
        <v>400</v>
      </c>
      <c r="B4">
        <v>3731.3</v>
      </c>
      <c r="C4">
        <v>5516.9</v>
      </c>
      <c r="D4">
        <v>7850.6</v>
      </c>
      <c r="E4">
        <v>10229.1</v>
      </c>
      <c r="F4">
        <v>0.95299999999999996</v>
      </c>
      <c r="G4">
        <v>0.82899999999999996</v>
      </c>
      <c r="H4">
        <f t="shared" ref="H4:H5" si="1">B4*$L$3</f>
        <v>38.694733477250082</v>
      </c>
      <c r="I4">
        <f t="shared" ref="I4:I5" si="2">C4*$L$3</f>
        <v>57.211956991032878</v>
      </c>
      <c r="J4">
        <f t="shared" ref="J4:J5" si="3">D4*$L$3</f>
        <v>81.4131467950847</v>
      </c>
      <c r="K4">
        <f t="shared" ref="K4:K5" si="4">E4*$L$3</f>
        <v>106.07892643639987</v>
      </c>
    </row>
    <row r="5" spans="1:12" x14ac:dyDescent="0.4">
      <c r="A5">
        <v>300</v>
      </c>
      <c r="B5">
        <v>3562.7</v>
      </c>
      <c r="C5">
        <v>5334.3</v>
      </c>
      <c r="D5">
        <v>7668.5</v>
      </c>
      <c r="E5">
        <v>10069.1</v>
      </c>
      <c r="F5">
        <v>0.95599999999999996</v>
      </c>
      <c r="G5">
        <v>0.83499999999999996</v>
      </c>
      <c r="H5">
        <f t="shared" si="1"/>
        <v>36.946299402191961</v>
      </c>
      <c r="I5">
        <f t="shared" si="2"/>
        <v>55.318338591829956</v>
      </c>
      <c r="J5">
        <f t="shared" si="3"/>
        <v>79.524713550315511</v>
      </c>
      <c r="K5">
        <f t="shared" si="4"/>
        <v>104.41967701760213</v>
      </c>
    </row>
    <row r="6" spans="1:12" x14ac:dyDescent="0.4">
      <c r="A6">
        <v>200</v>
      </c>
      <c r="B6">
        <v>3612.7</v>
      </c>
      <c r="C6">
        <v>5448.8</v>
      </c>
      <c r="D6">
        <v>7658</v>
      </c>
      <c r="E6">
        <v>10066.200000000001</v>
      </c>
      <c r="F6">
        <v>0.95399999999999996</v>
      </c>
      <c r="G6">
        <v>0.83499999999999996</v>
      </c>
      <c r="H6">
        <f t="shared" ref="H6:H8" si="5">B6*$L$3</f>
        <v>37.464814845566252</v>
      </c>
      <c r="I6">
        <f t="shared" ref="I6:I8" si="6">C6*$L$3</f>
        <v>56.505738957157092</v>
      </c>
      <c r="J6">
        <f t="shared" ref="J6:J8" si="7">D6*$L$3</f>
        <v>79.415825307206902</v>
      </c>
      <c r="K6">
        <f>E6*$L$3</f>
        <v>104.38960312188642</v>
      </c>
    </row>
    <row r="7" spans="1:12" x14ac:dyDescent="0.4">
      <c r="A7">
        <v>100</v>
      </c>
      <c r="B7">
        <v>2728.1</v>
      </c>
      <c r="C7">
        <v>4450.2</v>
      </c>
      <c r="D7">
        <v>6866.4</v>
      </c>
      <c r="E7">
        <v>9426.2000000000007</v>
      </c>
      <c r="F7">
        <v>0.96899999999999997</v>
      </c>
      <c r="G7">
        <v>0.85499999999999998</v>
      </c>
      <c r="H7">
        <f t="shared" si="5"/>
        <v>28.291239621388243</v>
      </c>
      <c r="I7">
        <f t="shared" si="6"/>
        <v>46.149948522085687</v>
      </c>
      <c r="J7">
        <f t="shared" si="7"/>
        <v>71.206688807705078</v>
      </c>
      <c r="K7">
        <f>E7*$L$3</f>
        <v>97.752605446695455</v>
      </c>
    </row>
    <row r="8" spans="1:12" x14ac:dyDescent="0.4">
      <c r="A8">
        <v>20</v>
      </c>
      <c r="B8">
        <v>5224.3</v>
      </c>
      <c r="C8">
        <v>7658.7</v>
      </c>
      <c r="D8">
        <v>7999.4</v>
      </c>
      <c r="E8">
        <v>10417.700000000001</v>
      </c>
      <c r="F8">
        <v>0.90900000000000003</v>
      </c>
      <c r="G8">
        <v>0.82299999999999995</v>
      </c>
      <c r="H8">
        <f t="shared" si="5"/>
        <v>54.177604616406512</v>
      </c>
      <c r="I8">
        <f t="shared" si="6"/>
        <v>79.423084523414147</v>
      </c>
      <c r="J8">
        <f t="shared" si="7"/>
        <v>82.956248754566587</v>
      </c>
      <c r="K8">
        <f>E8*$L$3</f>
        <v>108.03476668880771</v>
      </c>
    </row>
  </sheetData>
  <mergeCells count="2">
    <mergeCell ref="B1:E1"/>
    <mergeCell ref="H1:K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he</dc:creator>
  <cp:lastModifiedBy>ziyi he</cp:lastModifiedBy>
  <dcterms:created xsi:type="dcterms:W3CDTF">2015-06-05T18:19:34Z</dcterms:created>
  <dcterms:modified xsi:type="dcterms:W3CDTF">2025-06-03T07:05:48Z</dcterms:modified>
</cp:coreProperties>
</file>