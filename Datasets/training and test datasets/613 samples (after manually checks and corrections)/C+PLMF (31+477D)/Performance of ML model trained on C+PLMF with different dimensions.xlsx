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毕设课题学习\毕设课题学习\毕设论文代码和数据集\数据集\训练和测试数据\613个数据（检查识别、公式和磁性项后）\C+PLMF\"/>
    </mc:Choice>
  </mc:AlternateContent>
  <xr:revisionPtr revIDLastSave="0" documentId="13_ncr:1_{7A3BCF8F-E6D6-4970-9FCF-8DAE6C6E7D3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L3" i="1"/>
  <c r="K8" i="1" s="1"/>
  <c r="K4" i="1" l="1"/>
  <c r="H5" i="1"/>
  <c r="J5" i="1"/>
  <c r="K6" i="1"/>
  <c r="H7" i="1"/>
  <c r="I7" i="1"/>
  <c r="H3" i="1"/>
  <c r="J7" i="1"/>
  <c r="I3" i="1"/>
  <c r="K7" i="1"/>
  <c r="J3" i="1"/>
  <c r="H8" i="1"/>
  <c r="K3" i="1"/>
  <c r="I8" i="1"/>
  <c r="H4" i="1"/>
  <c r="J8" i="1"/>
  <c r="J4" i="1"/>
  <c r="I5" i="1"/>
  <c r="H6" i="1"/>
  <c r="I6" i="1"/>
  <c r="J6" i="1"/>
  <c r="I4" i="1"/>
</calcChain>
</file>

<file path=xl/sharedStrings.xml><?xml version="1.0" encoding="utf-8"?>
<sst xmlns="http://schemas.openxmlformats.org/spreadsheetml/2006/main" count="14" uniqueCount="10">
  <si>
    <t>单位</t>
    <phoneticPr fontId="1" type="noConversion"/>
  </si>
  <si>
    <t>J/mol</t>
    <phoneticPr fontId="1" type="noConversion"/>
  </si>
  <si>
    <t>PLMF维度</t>
    <phoneticPr fontId="1" type="noConversion"/>
  </si>
  <si>
    <t>训练集MAE</t>
    <phoneticPr fontId="1" type="noConversion"/>
  </si>
  <si>
    <t>训练集RMSE</t>
    <phoneticPr fontId="1" type="noConversion"/>
  </si>
  <si>
    <t>测试集MAE</t>
    <phoneticPr fontId="1" type="noConversion"/>
  </si>
  <si>
    <t>测试集RMSE</t>
    <phoneticPr fontId="1" type="noConversion"/>
  </si>
  <si>
    <t>训练集R2</t>
    <phoneticPr fontId="1" type="noConversion"/>
  </si>
  <si>
    <t>测试集R2</t>
    <phoneticPr fontId="1" type="noConversion"/>
  </si>
  <si>
    <t>meV/atom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</si>
</sst>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D1" workbookViewId="0">
      <selection activeCell="H1" sqref="H1:K1"/>
    </sheetView>
  </sheetViews>
  <sheetFormatPr defaultRowHeight="13.9" x14ac:dyDescent="0.4"/>
  <sheetData>
    <row r="1" spans="1:12" x14ac:dyDescent="0.4">
      <c r="A1" t="s">
        <v>0</v>
      </c>
      <c r="B1" s="2" t="s">
        <v>1</v>
      </c>
      <c r="C1" s="2"/>
      <c r="D1" s="2"/>
      <c r="E1" s="2"/>
      <c r="H1" s="2" t="s">
        <v>9</v>
      </c>
      <c r="I1" s="2"/>
      <c r="J1" s="2"/>
      <c r="K1" s="2"/>
    </row>
    <row r="2" spans="1:12" x14ac:dyDescent="0.4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3</v>
      </c>
      <c r="I2" t="s">
        <v>4</v>
      </c>
      <c r="J2" t="s">
        <v>5</v>
      </c>
      <c r="K2" t="s">
        <v>6</v>
      </c>
    </row>
    <row r="3" spans="1:12" x14ac:dyDescent="0.4">
      <c r="A3">
        <v>508</v>
      </c>
      <c r="B3">
        <v>3750.3948999999998</v>
      </c>
      <c r="C3">
        <v>5595.2614999999996</v>
      </c>
      <c r="D3">
        <v>7934.1940000000004</v>
      </c>
      <c r="E3">
        <v>10461.6468</v>
      </c>
      <c r="F3">
        <v>0.95130000000000003</v>
      </c>
      <c r="G3">
        <v>0.82140000000000002</v>
      </c>
      <c r="H3">
        <f>B3*$L$3</f>
        <v>38.892753488043837</v>
      </c>
      <c r="I3">
        <f t="shared" ref="I3:K8" si="0">C3*$L$3</f>
        <v>58.024589949352368</v>
      </c>
      <c r="J3">
        <f t="shared" si="0"/>
        <v>82.280042394553305</v>
      </c>
      <c r="K3">
        <f t="shared" si="0"/>
        <v>108.49050857854535</v>
      </c>
      <c r="L3">
        <f>6.245*10^18/6.022/10^23*1000</f>
        <v>1.0370308867485885E-2</v>
      </c>
    </row>
    <row r="4" spans="1:12" x14ac:dyDescent="0.4">
      <c r="A4">
        <v>400</v>
      </c>
      <c r="B4">
        <v>2868.2062999999998</v>
      </c>
      <c r="C4">
        <v>4582.0424000000003</v>
      </c>
      <c r="D4">
        <v>7534.5168000000003</v>
      </c>
      <c r="E4">
        <v>10114.724700000001</v>
      </c>
      <c r="F4">
        <v>0.96740000000000004</v>
      </c>
      <c r="G4">
        <v>0.83309999999999995</v>
      </c>
      <c r="H4">
        <f t="shared" ref="H4:H8" si="1">B4*$L$3</f>
        <v>29.744185226668879</v>
      </c>
      <c r="I4">
        <f t="shared" si="0"/>
        <v>47.517194931916308</v>
      </c>
      <c r="J4">
        <f t="shared" si="0"/>
        <v>78.135266383261381</v>
      </c>
      <c r="K4">
        <f t="shared" si="0"/>
        <v>104.89281924858852</v>
      </c>
    </row>
    <row r="5" spans="1:12" x14ac:dyDescent="0.4">
      <c r="A5">
        <v>300</v>
      </c>
      <c r="B5">
        <v>2794.1030999999998</v>
      </c>
      <c r="C5">
        <v>4507.5331999999999</v>
      </c>
      <c r="D5">
        <v>7276.0956999999999</v>
      </c>
      <c r="E5" s="1">
        <v>9740.3259999999991</v>
      </c>
      <c r="F5">
        <v>0.96840000000000004</v>
      </c>
      <c r="G5">
        <v>0.84519999999999995</v>
      </c>
      <c r="H5">
        <f t="shared" si="1"/>
        <v>28.975712154599798</v>
      </c>
      <c r="I5">
        <f t="shared" si="0"/>
        <v>46.744511514447026</v>
      </c>
      <c r="J5">
        <f t="shared" si="0"/>
        <v>75.455359758385924</v>
      </c>
      <c r="K5">
        <f>E5*$L$3</f>
        <v>101.01018909000331</v>
      </c>
    </row>
    <row r="6" spans="1:12" x14ac:dyDescent="0.4">
      <c r="A6">
        <v>200</v>
      </c>
      <c r="B6">
        <v>3169.7565</v>
      </c>
      <c r="C6">
        <v>4814.5295999999998</v>
      </c>
      <c r="D6">
        <v>7508.4204</v>
      </c>
      <c r="E6">
        <v>9935.8554999999997</v>
      </c>
      <c r="F6">
        <v>0.96399999999999997</v>
      </c>
      <c r="G6">
        <v>0.83889999999999998</v>
      </c>
      <c r="H6">
        <f t="shared" si="1"/>
        <v>32.871353939721025</v>
      </c>
      <c r="I6">
        <f t="shared" si="0"/>
        <v>49.928159003653271</v>
      </c>
      <c r="J6">
        <f t="shared" si="0"/>
        <v>77.864638654931923</v>
      </c>
      <c r="K6">
        <f>E6*$L$3</f>
        <v>103.0378903977084</v>
      </c>
    </row>
    <row r="7" spans="1:12" x14ac:dyDescent="0.4">
      <c r="A7">
        <v>100</v>
      </c>
      <c r="B7">
        <v>2612.8937999999998</v>
      </c>
      <c r="C7">
        <v>4285.6683999999996</v>
      </c>
      <c r="D7">
        <v>6862.7488999999996</v>
      </c>
      <c r="E7">
        <v>9343.5388999999996</v>
      </c>
      <c r="F7">
        <v>0.97140000000000004</v>
      </c>
      <c r="G7">
        <v>0.85760000000000003</v>
      </c>
      <c r="H7">
        <f t="shared" si="1"/>
        <v>27.096515743938888</v>
      </c>
      <c r="I7">
        <f t="shared" si="0"/>
        <v>44.44370501162404</v>
      </c>
      <c r="J7">
        <f t="shared" si="0"/>
        <v>71.168825772999</v>
      </c>
      <c r="K7">
        <f>E7*$L$3</f>
        <v>96.895384308369302</v>
      </c>
    </row>
    <row r="8" spans="1:12" x14ac:dyDescent="0.4">
      <c r="A8">
        <v>20</v>
      </c>
      <c r="B8">
        <v>5697.9989999999998</v>
      </c>
      <c r="C8">
        <v>8043.4027999999998</v>
      </c>
      <c r="D8">
        <v>8415.2865000000002</v>
      </c>
      <c r="E8">
        <v>11285.062</v>
      </c>
      <c r="F8">
        <v>0.89939999999999998</v>
      </c>
      <c r="G8">
        <v>0.79220000000000002</v>
      </c>
      <c r="H8">
        <f t="shared" si="1"/>
        <v>59.090009556625702</v>
      </c>
      <c r="I8">
        <f t="shared" si="0"/>
        <v>83.412571381600799</v>
      </c>
      <c r="J8">
        <f t="shared" si="0"/>
        <v>87.269120213384255</v>
      </c>
      <c r="K8">
        <f>E8*$L$3</f>
        <v>117.029578528728</v>
      </c>
    </row>
  </sheetData>
  <mergeCells count="2">
    <mergeCell ref="B1:E1"/>
    <mergeCell ref="H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he</dc:creator>
  <cp:lastModifiedBy>ziyi he</cp:lastModifiedBy>
  <dcterms:created xsi:type="dcterms:W3CDTF">2015-06-05T18:19:34Z</dcterms:created>
  <dcterms:modified xsi:type="dcterms:W3CDTF">2025-06-03T07:06:19Z</dcterms:modified>
</cp:coreProperties>
</file>