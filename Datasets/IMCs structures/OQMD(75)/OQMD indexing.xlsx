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毕设课题学习\毕设课题学习\文献驱动\结果整理\需要重新处理的G data source&amp;需要继续找结构的化学式\"/>
    </mc:Choice>
  </mc:AlternateContent>
  <xr:revisionPtr revIDLastSave="0" documentId="13_ncr:1_{A10E27F4-07F4-452C-9EF1-6A9A8AF41F7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28" i="1"/>
  <c r="K29" i="1"/>
  <c r="K30" i="1"/>
  <c r="K2" i="1"/>
  <c r="K3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3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1" i="1"/>
  <c r="F72" i="1"/>
  <c r="F73" i="1"/>
  <c r="F74" i="1"/>
  <c r="F75" i="1"/>
  <c r="F76" i="1"/>
</calcChain>
</file>

<file path=xl/sharedStrings.xml><?xml version="1.0" encoding="utf-8"?>
<sst xmlns="http://schemas.openxmlformats.org/spreadsheetml/2006/main" count="230" uniqueCount="111">
  <si>
    <t>Formula</t>
  </si>
  <si>
    <t>LuAg</t>
  </si>
  <si>
    <t>Yb4Sb3</t>
  </si>
  <si>
    <t>Gd4Bi3</t>
  </si>
  <si>
    <t>Zn13Fe</t>
  </si>
  <si>
    <t>Gd3Ni</t>
  </si>
  <si>
    <t>Eu5Pb3</t>
  </si>
  <si>
    <t>Dy3Ni</t>
  </si>
  <si>
    <t>Yb8Si11</t>
  </si>
  <si>
    <t>InPd2</t>
  </si>
  <si>
    <t>Gd5Bi3</t>
  </si>
  <si>
    <t>Gd7Pd3</t>
  </si>
  <si>
    <t>Pr7Ni3</t>
  </si>
  <si>
    <t>CeAl3</t>
  </si>
  <si>
    <t>Ti3Bi2</t>
  </si>
  <si>
    <t>TiMn3</t>
  </si>
  <si>
    <t>Mg2Zn3</t>
  </si>
  <si>
    <t>GdCo3</t>
  </si>
  <si>
    <t>FeSi2</t>
  </si>
  <si>
    <t>Gd3Co</t>
  </si>
  <si>
    <t>ErSb</t>
  </si>
  <si>
    <t>Dy(Al3Ni)3</t>
  </si>
  <si>
    <t>Gd2Co7</t>
  </si>
  <si>
    <t>Yb2Ni17</t>
  </si>
  <si>
    <t>Eu2Mg17</t>
  </si>
  <si>
    <t>Yb11Sb10</t>
  </si>
  <si>
    <t>GdFe3</t>
  </si>
  <si>
    <t>InPd3</t>
  </si>
  <si>
    <t>Lu3Sb</t>
  </si>
  <si>
    <t>Fe5Sn3</t>
  </si>
  <si>
    <t>Pr4Co3</t>
  </si>
  <si>
    <t>Ce2Al</t>
  </si>
  <si>
    <t>YbNi3</t>
  </si>
  <si>
    <t>GdAu3</t>
  </si>
  <si>
    <t>GdPd2</t>
  </si>
  <si>
    <t>ScPd2</t>
  </si>
  <si>
    <t>Sc5Ga4</t>
  </si>
  <si>
    <t>LuFe3</t>
  </si>
  <si>
    <t>PrBi2</t>
  </si>
  <si>
    <t>NdSn</t>
  </si>
  <si>
    <t>Gd2Au</t>
  </si>
  <si>
    <t>GdPd7</t>
  </si>
  <si>
    <t>DyAl3Ni</t>
  </si>
  <si>
    <t>Al2Fe</t>
  </si>
  <si>
    <t>ScCu4</t>
  </si>
  <si>
    <t>InAu</t>
  </si>
  <si>
    <t>Er5Pd2</t>
  </si>
  <si>
    <t>Ce3Au4</t>
  </si>
  <si>
    <t>LuBi2</t>
  </si>
  <si>
    <t>GdBi2</t>
  </si>
  <si>
    <t>InAg2</t>
  </si>
  <si>
    <t>Nd2Ni3</t>
  </si>
  <si>
    <t>Sm3Ni2</t>
  </si>
  <si>
    <t>Al4Pd</t>
  </si>
  <si>
    <t>Ta3Sn2</t>
  </si>
  <si>
    <t>Sm5(FeB3)2</t>
  </si>
  <si>
    <t>Gd3Au4</t>
  </si>
  <si>
    <t>Nd3Sn5</t>
  </si>
  <si>
    <t>Al13Ir4</t>
  </si>
  <si>
    <t>Yb2Cu7</t>
  </si>
  <si>
    <t>Gd2Cu7</t>
  </si>
  <si>
    <t>Sm7Ni3</t>
  </si>
  <si>
    <t>Sn2Pd3</t>
  </si>
  <si>
    <t>CeAg4</t>
  </si>
  <si>
    <t>CeBi2</t>
  </si>
  <si>
    <t>Y</t>
  </si>
  <si>
    <t>TiBi2</t>
  </si>
  <si>
    <t>Gd5Ga3</t>
  </si>
  <si>
    <t>Th2Fe7</t>
  </si>
  <si>
    <t>Th2Co7</t>
  </si>
  <si>
    <t>Ce5Rh3</t>
  </si>
  <si>
    <t>Ce11Sn10</t>
  </si>
  <si>
    <t>EuMg4</t>
  </si>
  <si>
    <t>MP_ID</t>
  </si>
  <si>
    <t>FeSi2</t>
    <phoneticPr fontId="1" type="noConversion"/>
  </si>
  <si>
    <t>ErSb</t>
    <phoneticPr fontId="1" type="noConversion"/>
  </si>
  <si>
    <t>Gd3Ni</t>
    <phoneticPr fontId="1" type="noConversion"/>
  </si>
  <si>
    <t>InPd2</t>
    <phoneticPr fontId="1" type="noConversion"/>
  </si>
  <si>
    <t>InPd3</t>
    <phoneticPr fontId="1" type="noConversion"/>
  </si>
  <si>
    <t>Pd3Sn2</t>
  </si>
  <si>
    <t>Pd3Sn2</t>
    <phoneticPr fontId="1" type="noConversion"/>
  </si>
  <si>
    <t>Zn13Fe</t>
    <phoneticPr fontId="1" type="noConversion"/>
  </si>
  <si>
    <t>GdAu3</t>
    <phoneticPr fontId="1" type="noConversion"/>
  </si>
  <si>
    <t>Gd2Co7</t>
    <phoneticPr fontId="1" type="noConversion"/>
  </si>
  <si>
    <t>GdCo3</t>
    <phoneticPr fontId="1" type="noConversion"/>
  </si>
  <si>
    <t>GdFe3</t>
    <phoneticPr fontId="1" type="noConversion"/>
  </si>
  <si>
    <t>Pr7Ni3</t>
    <phoneticPr fontId="1" type="noConversion"/>
  </si>
  <si>
    <t>Gd3Co</t>
    <phoneticPr fontId="1" type="noConversion"/>
  </si>
  <si>
    <t>LuAg</t>
    <phoneticPr fontId="1" type="noConversion"/>
  </si>
  <si>
    <t>CeAl3</t>
    <phoneticPr fontId="1" type="noConversion"/>
  </si>
  <si>
    <t>Ti3Bi2</t>
    <phoneticPr fontId="1" type="noConversion"/>
  </si>
  <si>
    <t>Eu2Mg17</t>
    <phoneticPr fontId="1" type="noConversion"/>
  </si>
  <si>
    <t>EuMg4</t>
    <phoneticPr fontId="1" type="noConversion"/>
  </si>
  <si>
    <t>Pr4Co3</t>
    <phoneticPr fontId="1" type="noConversion"/>
  </si>
  <si>
    <t>ScPd2</t>
    <phoneticPr fontId="1" type="noConversion"/>
  </si>
  <si>
    <t>LuFe3</t>
    <phoneticPr fontId="1" type="noConversion"/>
  </si>
  <si>
    <t>Gd2Au</t>
    <phoneticPr fontId="1" type="noConversion"/>
  </si>
  <si>
    <t>DyAl3Ni</t>
    <phoneticPr fontId="1" type="noConversion"/>
  </si>
  <si>
    <t>Al2Fe</t>
    <phoneticPr fontId="1" type="noConversion"/>
  </si>
  <si>
    <t>ScCu4</t>
    <phoneticPr fontId="1" type="noConversion"/>
  </si>
  <si>
    <t>InAu</t>
    <phoneticPr fontId="1" type="noConversion"/>
  </si>
  <si>
    <t>Ce3Au4</t>
    <phoneticPr fontId="1" type="noConversion"/>
  </si>
  <si>
    <t>Ce2Al</t>
    <phoneticPr fontId="1" type="noConversion"/>
  </si>
  <si>
    <t>Yb2Cu7</t>
    <phoneticPr fontId="1" type="noConversion"/>
  </si>
  <si>
    <t>InAg2</t>
    <phoneticPr fontId="1" type="noConversion"/>
  </si>
  <si>
    <t>Gd2Cu7</t>
    <phoneticPr fontId="1" type="noConversion"/>
  </si>
  <si>
    <t>Sn2Pd3</t>
    <phoneticPr fontId="1" type="noConversion"/>
  </si>
  <si>
    <t>Gd3Au4</t>
    <phoneticPr fontId="1" type="noConversion"/>
  </si>
  <si>
    <t>LuBi2</t>
    <phoneticPr fontId="1" type="noConversion"/>
  </si>
  <si>
    <t>CeAg4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</si>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</sst>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7" workbookViewId="0">
      <selection activeCell="M20" sqref="M20"/>
    </sheetView>
  </sheetViews>
  <sheetFormatPr defaultRowHeight="13.9" x14ac:dyDescent="0.4"/>
  <cols>
    <col min="2" max="2" width="9.06640625" style="1"/>
    <col min="4" max="5" width="9.06640625" style="1"/>
  </cols>
  <sheetData>
    <row r="1" spans="1:11" x14ac:dyDescent="0.4">
      <c r="B1" s="1" t="s">
        <v>0</v>
      </c>
      <c r="D1" s="1" t="s">
        <v>0</v>
      </c>
      <c r="E1" s="1" t="s">
        <v>73</v>
      </c>
      <c r="H1" t="s">
        <v>0</v>
      </c>
      <c r="I1" t="s">
        <v>73</v>
      </c>
    </row>
    <row r="2" spans="1:11" x14ac:dyDescent="0.4">
      <c r="A2">
        <v>1247129</v>
      </c>
      <c r="B2" s="1" t="s">
        <v>1</v>
      </c>
      <c r="D2" s="1" t="s">
        <v>74</v>
      </c>
      <c r="E2" s="1">
        <v>4299</v>
      </c>
      <c r="F2">
        <f>IFERROR(INDEX(A:A, MATCH(D2, B:B, 0)), "Not found")</f>
        <v>2016251</v>
      </c>
      <c r="H2" t="s">
        <v>1</v>
      </c>
      <c r="I2">
        <v>306904</v>
      </c>
      <c r="J2">
        <v>1247129</v>
      </c>
      <c r="K2" t="str">
        <f>"ID_"&amp;J2</f>
        <v>ID_1247129</v>
      </c>
    </row>
    <row r="3" spans="1:11" x14ac:dyDescent="0.4">
      <c r="A3">
        <v>1285130</v>
      </c>
      <c r="B3" s="1" t="s">
        <v>2</v>
      </c>
      <c r="D3" s="1" t="s">
        <v>2</v>
      </c>
      <c r="E3" s="1">
        <v>7975</v>
      </c>
      <c r="F3">
        <f t="shared" ref="F3:F66" si="0">IFERROR(INDEX(A:A, MATCH(D3, B:B, 0)), "Not found")</f>
        <v>1285130</v>
      </c>
      <c r="H3" t="s">
        <v>2</v>
      </c>
      <c r="I3">
        <v>7975</v>
      </c>
      <c r="J3">
        <v>1285130</v>
      </c>
      <c r="K3" t="str">
        <f>"ID_"&amp;J3</f>
        <v>ID_1285130</v>
      </c>
    </row>
    <row r="4" spans="1:11" x14ac:dyDescent="0.4">
      <c r="A4">
        <v>1286507</v>
      </c>
      <c r="B4" s="1" t="s">
        <v>3</v>
      </c>
      <c r="D4" s="1" t="s">
        <v>75</v>
      </c>
      <c r="E4" s="1">
        <v>8168</v>
      </c>
      <c r="F4">
        <f t="shared" si="0"/>
        <v>2019442</v>
      </c>
      <c r="H4" t="s">
        <v>3</v>
      </c>
      <c r="I4">
        <v>28723</v>
      </c>
      <c r="J4">
        <v>1286507</v>
      </c>
      <c r="K4" t="str">
        <f>"ID_"&amp;J4</f>
        <v>ID_1286507</v>
      </c>
    </row>
    <row r="5" spans="1:11" x14ac:dyDescent="0.4">
      <c r="A5">
        <v>1286563</v>
      </c>
      <c r="B5" s="1" t="s">
        <v>4</v>
      </c>
      <c r="D5" s="1" t="s">
        <v>10</v>
      </c>
      <c r="E5" s="1">
        <v>10931</v>
      </c>
      <c r="F5">
        <f t="shared" si="0"/>
        <v>1925146</v>
      </c>
      <c r="H5" t="s">
        <v>4</v>
      </c>
      <c r="I5">
        <v>20660</v>
      </c>
      <c r="J5">
        <v>1286563</v>
      </c>
      <c r="K5" t="str">
        <f>"ID_"&amp;J5</f>
        <v>ID_1286563</v>
      </c>
    </row>
    <row r="6" spans="1:11" x14ac:dyDescent="0.4">
      <c r="A6">
        <v>1770101</v>
      </c>
      <c r="B6" s="1" t="s">
        <v>5</v>
      </c>
      <c r="D6" s="1" t="s">
        <v>77</v>
      </c>
      <c r="E6" s="1">
        <v>11129</v>
      </c>
      <c r="F6">
        <f t="shared" si="0"/>
        <v>186082</v>
      </c>
      <c r="H6" t="s">
        <v>5</v>
      </c>
      <c r="I6">
        <v>17327</v>
      </c>
      <c r="J6">
        <v>1770101</v>
      </c>
      <c r="K6" t="str">
        <f>"ID_"&amp;J6</f>
        <v>ID_1770101</v>
      </c>
    </row>
    <row r="7" spans="1:11" x14ac:dyDescent="0.4">
      <c r="A7">
        <v>1770604</v>
      </c>
      <c r="B7" s="1" t="s">
        <v>6</v>
      </c>
      <c r="D7" s="1" t="s">
        <v>76</v>
      </c>
      <c r="E7" s="1">
        <v>17327</v>
      </c>
      <c r="F7">
        <f t="shared" si="0"/>
        <v>1770101</v>
      </c>
      <c r="H7" t="s">
        <v>6</v>
      </c>
      <c r="I7">
        <v>30125</v>
      </c>
      <c r="J7">
        <v>1770604</v>
      </c>
      <c r="K7" t="str">
        <f>"ID_"&amp;J7</f>
        <v>ID_1770604</v>
      </c>
    </row>
    <row r="8" spans="1:11" x14ac:dyDescent="0.4">
      <c r="A8">
        <v>1770870</v>
      </c>
      <c r="B8" s="1" t="s">
        <v>7</v>
      </c>
      <c r="D8" s="1" t="s">
        <v>11</v>
      </c>
      <c r="E8" s="1">
        <v>17330</v>
      </c>
      <c r="F8">
        <f t="shared" si="0"/>
        <v>1927869</v>
      </c>
      <c r="H8" t="s">
        <v>7</v>
      </c>
      <c r="I8">
        <v>29890</v>
      </c>
      <c r="J8">
        <v>1770870</v>
      </c>
      <c r="K8" t="str">
        <f>"ID_"&amp;J8</f>
        <v>ID_1770870</v>
      </c>
    </row>
    <row r="9" spans="1:11" x14ac:dyDescent="0.4">
      <c r="A9">
        <v>1779515</v>
      </c>
      <c r="B9" s="1" t="s">
        <v>8</v>
      </c>
      <c r="D9" s="1" t="s">
        <v>8</v>
      </c>
      <c r="E9" s="1">
        <v>19800</v>
      </c>
      <c r="F9">
        <f t="shared" si="0"/>
        <v>1779515</v>
      </c>
      <c r="H9" t="s">
        <v>8</v>
      </c>
      <c r="I9">
        <v>19800</v>
      </c>
      <c r="J9">
        <v>1779515</v>
      </c>
      <c r="K9" t="str">
        <f>"ID_"&amp;J9</f>
        <v>ID_1779515</v>
      </c>
    </row>
    <row r="10" spans="1:11" x14ac:dyDescent="0.4">
      <c r="A10">
        <v>186082</v>
      </c>
      <c r="B10" s="1" t="s">
        <v>9</v>
      </c>
      <c r="D10" s="1" t="s">
        <v>81</v>
      </c>
      <c r="E10" s="1">
        <v>20660</v>
      </c>
      <c r="F10">
        <f t="shared" si="0"/>
        <v>1286563</v>
      </c>
      <c r="H10" t="s">
        <v>9</v>
      </c>
      <c r="I10">
        <v>11129</v>
      </c>
      <c r="J10">
        <v>186082</v>
      </c>
      <c r="K10" t="str">
        <f>"ID_"&amp;J10</f>
        <v>ID_186082</v>
      </c>
    </row>
    <row r="11" spans="1:11" x14ac:dyDescent="0.4">
      <c r="A11">
        <v>1925146</v>
      </c>
      <c r="B11" s="1" t="s">
        <v>10</v>
      </c>
      <c r="D11" s="1" t="s">
        <v>82</v>
      </c>
      <c r="E11" s="1">
        <v>28163</v>
      </c>
      <c r="F11">
        <f t="shared" si="0"/>
        <v>62792</v>
      </c>
      <c r="H11" t="s">
        <v>10</v>
      </c>
      <c r="I11">
        <v>10931</v>
      </c>
      <c r="J11">
        <v>1925146</v>
      </c>
      <c r="K11" t="str">
        <f>"ID_"&amp;J11</f>
        <v>ID_1925146</v>
      </c>
    </row>
    <row r="12" spans="1:11" x14ac:dyDescent="0.4">
      <c r="A12">
        <v>1927869</v>
      </c>
      <c r="B12" s="1" t="s">
        <v>11</v>
      </c>
      <c r="D12" s="1" t="s">
        <v>3</v>
      </c>
      <c r="E12" s="1">
        <v>28723</v>
      </c>
      <c r="F12">
        <f t="shared" si="0"/>
        <v>1286507</v>
      </c>
      <c r="H12" t="s">
        <v>11</v>
      </c>
      <c r="I12">
        <v>17330</v>
      </c>
      <c r="J12">
        <v>1927869</v>
      </c>
      <c r="K12" t="str">
        <f>"ID_"&amp;J12</f>
        <v>ID_1927869</v>
      </c>
    </row>
    <row r="13" spans="1:11" x14ac:dyDescent="0.4">
      <c r="A13">
        <v>1928729</v>
      </c>
      <c r="B13" s="1" t="s">
        <v>12</v>
      </c>
      <c r="D13" s="1" t="s">
        <v>83</v>
      </c>
      <c r="E13" s="1">
        <v>29301</v>
      </c>
      <c r="F13">
        <f t="shared" si="0"/>
        <v>2073043</v>
      </c>
      <c r="H13" t="s">
        <v>12</v>
      </c>
      <c r="I13">
        <v>30837</v>
      </c>
      <c r="J13">
        <v>1928729</v>
      </c>
      <c r="K13" t="str">
        <f>"ID_"&amp;J13</f>
        <v>ID_1928729</v>
      </c>
    </row>
    <row r="14" spans="1:11" x14ac:dyDescent="0.4">
      <c r="A14">
        <v>1993901</v>
      </c>
      <c r="B14" s="1" t="s">
        <v>13</v>
      </c>
      <c r="D14" s="1" t="s">
        <v>84</v>
      </c>
      <c r="E14" s="1">
        <v>29303</v>
      </c>
      <c r="F14">
        <f t="shared" si="0"/>
        <v>2014612</v>
      </c>
      <c r="H14" t="s">
        <v>13</v>
      </c>
      <c r="I14">
        <v>346718</v>
      </c>
      <c r="J14">
        <v>1993901</v>
      </c>
      <c r="K14" t="str">
        <f>"ID_"&amp;J14</f>
        <v>ID_1993901</v>
      </c>
    </row>
    <row r="15" spans="1:11" x14ac:dyDescent="0.4">
      <c r="A15">
        <v>1994937</v>
      </c>
      <c r="B15" s="1" t="s">
        <v>14</v>
      </c>
      <c r="D15" s="1" t="s">
        <v>7</v>
      </c>
      <c r="E15" s="1">
        <v>29890</v>
      </c>
      <c r="F15">
        <f t="shared" si="0"/>
        <v>1770870</v>
      </c>
      <c r="H15" t="s">
        <v>14</v>
      </c>
      <c r="I15">
        <v>426066</v>
      </c>
      <c r="J15">
        <v>1994937</v>
      </c>
      <c r="K15" t="str">
        <f>"ID_"&amp;J15</f>
        <v>ID_1994937</v>
      </c>
    </row>
    <row r="16" spans="1:11" x14ac:dyDescent="0.4">
      <c r="A16">
        <v>1995404</v>
      </c>
      <c r="B16" s="1" t="s">
        <v>15</v>
      </c>
      <c r="D16" s="1" t="s">
        <v>6</v>
      </c>
      <c r="E16" s="1">
        <v>30125</v>
      </c>
      <c r="F16">
        <f t="shared" si="0"/>
        <v>1770604</v>
      </c>
      <c r="H16" t="s">
        <v>15</v>
      </c>
      <c r="I16">
        <v>308132</v>
      </c>
      <c r="J16">
        <v>1995404</v>
      </c>
      <c r="K16" t="str">
        <f>"ID_"&amp;J16</f>
        <v>ID_1995404</v>
      </c>
    </row>
    <row r="17" spans="1:11" x14ac:dyDescent="0.4">
      <c r="A17">
        <v>1999993</v>
      </c>
      <c r="B17" s="1" t="s">
        <v>16</v>
      </c>
      <c r="D17" s="1" t="s">
        <v>85</v>
      </c>
      <c r="E17" s="1">
        <v>30182</v>
      </c>
      <c r="F17">
        <f t="shared" si="0"/>
        <v>419377</v>
      </c>
      <c r="H17" t="s">
        <v>16</v>
      </c>
      <c r="I17">
        <v>427859</v>
      </c>
      <c r="J17">
        <v>1999993</v>
      </c>
      <c r="K17" t="str">
        <f>"ID_"&amp;J17</f>
        <v>ID_1999993</v>
      </c>
    </row>
    <row r="18" spans="1:11" x14ac:dyDescent="0.4">
      <c r="A18">
        <v>2014612</v>
      </c>
      <c r="B18" s="1" t="s">
        <v>17</v>
      </c>
      <c r="D18" s="1" t="s">
        <v>74</v>
      </c>
      <c r="E18" s="1">
        <v>30247</v>
      </c>
      <c r="F18">
        <v>2020803</v>
      </c>
      <c r="H18" t="s">
        <v>17</v>
      </c>
      <c r="I18">
        <v>29303</v>
      </c>
      <c r="J18">
        <v>2014612</v>
      </c>
      <c r="K18" t="str">
        <f>"ID_"&amp;J18</f>
        <v>ID_2014612</v>
      </c>
    </row>
    <row r="19" spans="1:11" x14ac:dyDescent="0.4">
      <c r="A19">
        <v>2016251</v>
      </c>
      <c r="B19" s="1" t="s">
        <v>18</v>
      </c>
      <c r="D19" s="1" t="s">
        <v>86</v>
      </c>
      <c r="E19" s="1">
        <v>30837</v>
      </c>
      <c r="F19">
        <f t="shared" si="0"/>
        <v>1928729</v>
      </c>
      <c r="H19" t="s">
        <v>18</v>
      </c>
      <c r="I19">
        <v>4299</v>
      </c>
      <c r="J19">
        <v>2016251</v>
      </c>
      <c r="K19" t="str">
        <f>"ID_"&amp;J19</f>
        <v>ID_2016251</v>
      </c>
    </row>
    <row r="20" spans="1:11" x14ac:dyDescent="0.4">
      <c r="A20">
        <v>2017363</v>
      </c>
      <c r="B20" s="1" t="s">
        <v>19</v>
      </c>
      <c r="D20" s="1" t="s">
        <v>23</v>
      </c>
      <c r="E20" s="1">
        <v>30879</v>
      </c>
      <c r="F20">
        <f t="shared" si="0"/>
        <v>2077087</v>
      </c>
      <c r="H20" t="s">
        <v>18</v>
      </c>
      <c r="I20">
        <v>30247</v>
      </c>
      <c r="J20">
        <v>2020803</v>
      </c>
      <c r="K20" t="str">
        <f>"ID_"&amp;J20</f>
        <v>ID_2020803</v>
      </c>
    </row>
    <row r="21" spans="1:11" x14ac:dyDescent="0.4">
      <c r="A21">
        <v>2019442</v>
      </c>
      <c r="B21" s="1" t="s">
        <v>20</v>
      </c>
      <c r="D21" s="1" t="s">
        <v>25</v>
      </c>
      <c r="E21" s="1">
        <v>39704</v>
      </c>
      <c r="F21">
        <f t="shared" si="0"/>
        <v>2909643</v>
      </c>
      <c r="H21" t="s">
        <v>19</v>
      </c>
      <c r="I21">
        <v>88375</v>
      </c>
      <c r="J21">
        <v>2017363</v>
      </c>
      <c r="K21" t="str">
        <f>"ID_"&amp;J21</f>
        <v>ID_2017363</v>
      </c>
    </row>
    <row r="22" spans="1:11" x14ac:dyDescent="0.4">
      <c r="A22">
        <v>2020803</v>
      </c>
      <c r="B22" s="1" t="s">
        <v>18</v>
      </c>
      <c r="D22" s="1" t="s">
        <v>87</v>
      </c>
      <c r="E22" s="1">
        <v>88375</v>
      </c>
      <c r="F22">
        <f t="shared" si="0"/>
        <v>2017363</v>
      </c>
      <c r="H22" t="s">
        <v>20</v>
      </c>
      <c r="I22">
        <v>8168</v>
      </c>
      <c r="J22">
        <v>2019442</v>
      </c>
      <c r="K22" t="str">
        <f>"ID_"&amp;J22</f>
        <v>ID_2019442</v>
      </c>
    </row>
    <row r="23" spans="1:11" x14ac:dyDescent="0.4">
      <c r="A23">
        <v>2025733</v>
      </c>
      <c r="B23" s="1" t="s">
        <v>21</v>
      </c>
      <c r="D23" s="1" t="s">
        <v>78</v>
      </c>
      <c r="E23" s="1">
        <v>298154</v>
      </c>
      <c r="F23">
        <f t="shared" si="0"/>
        <v>425283</v>
      </c>
      <c r="H23" t="s">
        <v>21</v>
      </c>
      <c r="I23">
        <v>684940</v>
      </c>
      <c r="J23">
        <v>2025733</v>
      </c>
      <c r="K23" t="str">
        <f>"ID_"&amp;J23</f>
        <v>ID_2025733</v>
      </c>
    </row>
    <row r="24" spans="1:11" x14ac:dyDescent="0.4">
      <c r="A24">
        <v>2073043</v>
      </c>
      <c r="B24" s="1" t="s">
        <v>22</v>
      </c>
      <c r="D24" s="1" t="s">
        <v>28</v>
      </c>
      <c r="E24" s="1">
        <v>298779</v>
      </c>
      <c r="F24">
        <f t="shared" si="0"/>
        <v>428317</v>
      </c>
      <c r="H24" t="s">
        <v>22</v>
      </c>
      <c r="I24">
        <v>29301</v>
      </c>
      <c r="J24">
        <v>2073043</v>
      </c>
      <c r="K24" t="str">
        <f>"ID_"&amp;J24</f>
        <v>ID_2073043</v>
      </c>
    </row>
    <row r="25" spans="1:11" x14ac:dyDescent="0.4">
      <c r="A25">
        <v>2077087</v>
      </c>
      <c r="B25" s="1" t="s">
        <v>23</v>
      </c>
      <c r="D25" s="1" t="s">
        <v>88</v>
      </c>
      <c r="E25" s="1">
        <v>306904</v>
      </c>
      <c r="F25">
        <f t="shared" si="0"/>
        <v>1247129</v>
      </c>
      <c r="H25" t="s">
        <v>23</v>
      </c>
      <c r="I25">
        <v>30879</v>
      </c>
      <c r="J25">
        <v>2077087</v>
      </c>
      <c r="K25" t="str">
        <f>"ID_"&amp;J25</f>
        <v>ID_2077087</v>
      </c>
    </row>
    <row r="26" spans="1:11" x14ac:dyDescent="0.4">
      <c r="A26">
        <v>2171379</v>
      </c>
      <c r="B26" s="1" t="s">
        <v>24</v>
      </c>
      <c r="D26" s="1" t="s">
        <v>15</v>
      </c>
      <c r="E26" s="1">
        <v>308132</v>
      </c>
      <c r="F26">
        <f t="shared" si="0"/>
        <v>1995404</v>
      </c>
      <c r="H26" t="s">
        <v>24</v>
      </c>
      <c r="I26">
        <v>665853</v>
      </c>
      <c r="J26">
        <v>2171379</v>
      </c>
      <c r="K26" t="str">
        <f>"ID_"&amp;J26</f>
        <v>ID_2171379</v>
      </c>
    </row>
    <row r="27" spans="1:11" x14ac:dyDescent="0.4">
      <c r="A27">
        <v>2909643</v>
      </c>
      <c r="B27" s="1" t="s">
        <v>25</v>
      </c>
      <c r="D27" s="1" t="s">
        <v>89</v>
      </c>
      <c r="E27" s="1">
        <v>346718</v>
      </c>
      <c r="F27">
        <f t="shared" si="0"/>
        <v>1993901</v>
      </c>
      <c r="H27" t="s">
        <v>25</v>
      </c>
      <c r="I27">
        <v>39704</v>
      </c>
      <c r="J27">
        <v>2909643</v>
      </c>
      <c r="K27" t="str">
        <f>"ID_"&amp;J27</f>
        <v>ID_2909643</v>
      </c>
    </row>
    <row r="28" spans="1:11" x14ac:dyDescent="0.4">
      <c r="A28">
        <v>419377</v>
      </c>
      <c r="B28" s="1" t="s">
        <v>26</v>
      </c>
      <c r="D28" s="1" t="s">
        <v>90</v>
      </c>
      <c r="E28" s="1">
        <v>426066</v>
      </c>
      <c r="F28">
        <f t="shared" si="0"/>
        <v>1994937</v>
      </c>
      <c r="H28" t="s">
        <v>26</v>
      </c>
      <c r="I28">
        <v>30182</v>
      </c>
      <c r="J28">
        <v>419377</v>
      </c>
      <c r="K28" t="str">
        <f>"ID_"&amp;J28</f>
        <v>ID_419377</v>
      </c>
    </row>
    <row r="29" spans="1:11" x14ac:dyDescent="0.4">
      <c r="A29">
        <v>425283</v>
      </c>
      <c r="B29" s="1" t="s">
        <v>27</v>
      </c>
      <c r="D29" s="1" t="s">
        <v>16</v>
      </c>
      <c r="E29" s="1">
        <v>427859</v>
      </c>
      <c r="F29">
        <f t="shared" si="0"/>
        <v>1999993</v>
      </c>
      <c r="H29" t="s">
        <v>27</v>
      </c>
      <c r="I29">
        <v>298154</v>
      </c>
      <c r="J29">
        <v>425283</v>
      </c>
      <c r="K29" t="str">
        <f>"ID_"&amp;J29</f>
        <v>ID_425283</v>
      </c>
    </row>
    <row r="30" spans="1:11" x14ac:dyDescent="0.4">
      <c r="A30">
        <v>428317</v>
      </c>
      <c r="B30" s="1" t="s">
        <v>28</v>
      </c>
      <c r="D30" s="1" t="s">
        <v>71</v>
      </c>
      <c r="E30" s="1">
        <v>662927</v>
      </c>
      <c r="F30">
        <f t="shared" si="0"/>
        <v>9777027</v>
      </c>
      <c r="H30" t="s">
        <v>28</v>
      </c>
      <c r="I30">
        <v>298779</v>
      </c>
      <c r="J30">
        <v>428317</v>
      </c>
      <c r="K30" t="str">
        <f>"ID_"&amp;J30</f>
        <v>ID_428317</v>
      </c>
    </row>
    <row r="31" spans="1:11" x14ac:dyDescent="0.4">
      <c r="A31">
        <v>4738131</v>
      </c>
      <c r="B31" s="1" t="s">
        <v>29</v>
      </c>
      <c r="D31" s="1" t="s">
        <v>91</v>
      </c>
      <c r="E31" s="1">
        <v>665853</v>
      </c>
      <c r="F31">
        <f t="shared" si="0"/>
        <v>2171379</v>
      </c>
      <c r="H31" t="s">
        <v>29</v>
      </c>
      <c r="I31">
        <v>1277778</v>
      </c>
      <c r="J31">
        <v>4738131</v>
      </c>
      <c r="K31" t="str">
        <f>"ID_"&amp;J31</f>
        <v>ID_4738131</v>
      </c>
    </row>
    <row r="32" spans="1:11" x14ac:dyDescent="0.4">
      <c r="A32">
        <v>4779785</v>
      </c>
      <c r="B32" s="1" t="s">
        <v>30</v>
      </c>
      <c r="D32" s="1" t="s">
        <v>92</v>
      </c>
      <c r="E32" s="1">
        <v>684832</v>
      </c>
      <c r="F32">
        <f t="shared" si="0"/>
        <v>9993021</v>
      </c>
      <c r="H32" t="s">
        <v>30</v>
      </c>
      <c r="I32">
        <v>1285277</v>
      </c>
      <c r="J32">
        <v>4779785</v>
      </c>
      <c r="K32" t="str">
        <f>"ID_"&amp;J32</f>
        <v>ID_4779785</v>
      </c>
    </row>
    <row r="33" spans="1:11" x14ac:dyDescent="0.4">
      <c r="A33">
        <v>6220835</v>
      </c>
      <c r="B33" s="1" t="s">
        <v>31</v>
      </c>
      <c r="D33" s="1" t="s">
        <v>21</v>
      </c>
      <c r="E33" s="1">
        <v>684940</v>
      </c>
      <c r="F33">
        <f t="shared" si="0"/>
        <v>2025733</v>
      </c>
      <c r="H33" t="s">
        <v>31</v>
      </c>
      <c r="I33">
        <v>1520548</v>
      </c>
      <c r="J33">
        <v>6220835</v>
      </c>
      <c r="K33" t="str">
        <f>"ID_"&amp;J33</f>
        <v>ID_6220835</v>
      </c>
    </row>
    <row r="34" spans="1:11" x14ac:dyDescent="0.4">
      <c r="A34">
        <v>6224630</v>
      </c>
      <c r="B34" s="1" t="s">
        <v>32</v>
      </c>
      <c r="D34" s="1" t="s">
        <v>29</v>
      </c>
      <c r="E34" s="1">
        <v>1277778</v>
      </c>
      <c r="F34">
        <f t="shared" si="0"/>
        <v>4738131</v>
      </c>
      <c r="H34" t="s">
        <v>32</v>
      </c>
      <c r="I34">
        <v>1521811</v>
      </c>
      <c r="J34">
        <v>6224630</v>
      </c>
      <c r="K34" t="str">
        <f>"ID_"&amp;J34</f>
        <v>ID_6224630</v>
      </c>
    </row>
    <row r="35" spans="1:11" x14ac:dyDescent="0.4">
      <c r="A35">
        <v>62792</v>
      </c>
      <c r="B35" s="1" t="s">
        <v>33</v>
      </c>
      <c r="D35" s="1" t="s">
        <v>93</v>
      </c>
      <c r="E35" s="1">
        <v>1285277</v>
      </c>
      <c r="F35">
        <f t="shared" si="0"/>
        <v>4779785</v>
      </c>
      <c r="H35" t="s">
        <v>33</v>
      </c>
      <c r="I35">
        <v>28163</v>
      </c>
      <c r="J35">
        <v>62792</v>
      </c>
      <c r="K35" t="str">
        <f>"ID_"&amp;J35</f>
        <v>ID_62792</v>
      </c>
    </row>
    <row r="36" spans="1:11" x14ac:dyDescent="0.4">
      <c r="A36">
        <v>6595848</v>
      </c>
      <c r="B36" s="1" t="s">
        <v>9</v>
      </c>
      <c r="D36" s="1" t="s">
        <v>94</v>
      </c>
      <c r="E36" s="1">
        <v>1339201</v>
      </c>
      <c r="F36">
        <f t="shared" si="0"/>
        <v>7669264</v>
      </c>
      <c r="H36" t="s">
        <v>9</v>
      </c>
      <c r="I36" s="1">
        <v>1592398</v>
      </c>
      <c r="J36">
        <v>6595848</v>
      </c>
      <c r="K36" t="str">
        <f>"ID_"&amp;J36</f>
        <v>ID_6595848</v>
      </c>
    </row>
    <row r="37" spans="1:11" x14ac:dyDescent="0.4">
      <c r="A37">
        <v>6596003</v>
      </c>
      <c r="B37" s="1" t="s">
        <v>34</v>
      </c>
      <c r="D37" s="1" t="s">
        <v>36</v>
      </c>
      <c r="E37" s="1">
        <v>1339265</v>
      </c>
      <c r="F37">
        <f t="shared" si="0"/>
        <v>7669666</v>
      </c>
      <c r="H37" t="s">
        <v>34</v>
      </c>
      <c r="I37">
        <v>1592412</v>
      </c>
      <c r="J37">
        <v>6596003</v>
      </c>
      <c r="K37" t="str">
        <f>"ID_"&amp;J37</f>
        <v>ID_6596003</v>
      </c>
    </row>
    <row r="38" spans="1:11" x14ac:dyDescent="0.4">
      <c r="A38">
        <v>7669264</v>
      </c>
      <c r="B38" s="1" t="s">
        <v>35</v>
      </c>
      <c r="D38" s="1" t="s">
        <v>95</v>
      </c>
      <c r="E38" s="1">
        <v>1365350</v>
      </c>
      <c r="F38">
        <f t="shared" si="0"/>
        <v>7734832</v>
      </c>
      <c r="H38" t="s">
        <v>35</v>
      </c>
      <c r="I38">
        <v>1339201</v>
      </c>
      <c r="J38">
        <v>7669264</v>
      </c>
      <c r="K38" t="str">
        <f>"ID_"&amp;J38</f>
        <v>ID_7669264</v>
      </c>
    </row>
    <row r="39" spans="1:11" x14ac:dyDescent="0.4">
      <c r="A39">
        <v>7669666</v>
      </c>
      <c r="B39" s="1" t="s">
        <v>36</v>
      </c>
      <c r="D39" s="1" t="s">
        <v>38</v>
      </c>
      <c r="E39" s="1">
        <v>1368767</v>
      </c>
      <c r="F39">
        <f t="shared" si="0"/>
        <v>7749084</v>
      </c>
      <c r="H39" t="s">
        <v>36</v>
      </c>
      <c r="I39">
        <v>1339265</v>
      </c>
      <c r="J39">
        <v>7669666</v>
      </c>
      <c r="K39" t="str">
        <f>"ID_"&amp;J39</f>
        <v>ID_7669666</v>
      </c>
    </row>
    <row r="40" spans="1:11" x14ac:dyDescent="0.4">
      <c r="A40">
        <v>7734832</v>
      </c>
      <c r="B40" s="1" t="s">
        <v>37</v>
      </c>
      <c r="D40" s="1" t="s">
        <v>39</v>
      </c>
      <c r="E40" s="1">
        <v>1370925</v>
      </c>
      <c r="F40">
        <f t="shared" si="0"/>
        <v>7758340</v>
      </c>
      <c r="H40" t="s">
        <v>37</v>
      </c>
      <c r="I40">
        <v>1365350</v>
      </c>
      <c r="J40">
        <v>7734832</v>
      </c>
      <c r="K40" t="str">
        <f>"ID_"&amp;J40</f>
        <v>ID_7734832</v>
      </c>
    </row>
    <row r="41" spans="1:11" x14ac:dyDescent="0.4">
      <c r="A41">
        <v>7749084</v>
      </c>
      <c r="B41" s="1" t="s">
        <v>38</v>
      </c>
      <c r="D41" s="1" t="s">
        <v>96</v>
      </c>
      <c r="E41" s="1">
        <v>1374201</v>
      </c>
      <c r="F41">
        <f t="shared" si="0"/>
        <v>7772418</v>
      </c>
      <c r="H41" t="s">
        <v>38</v>
      </c>
      <c r="I41">
        <v>1368767</v>
      </c>
      <c r="J41">
        <v>7749084</v>
      </c>
      <c r="K41" t="str">
        <f>"ID_"&amp;J41</f>
        <v>ID_7749084</v>
      </c>
    </row>
    <row r="42" spans="1:11" x14ac:dyDescent="0.4">
      <c r="A42">
        <v>7758340</v>
      </c>
      <c r="B42" s="1" t="s">
        <v>39</v>
      </c>
      <c r="D42" s="1" t="s">
        <v>41</v>
      </c>
      <c r="E42" s="1">
        <v>1376299</v>
      </c>
      <c r="F42">
        <f t="shared" si="0"/>
        <v>7781354</v>
      </c>
      <c r="H42" t="s">
        <v>39</v>
      </c>
      <c r="I42">
        <v>1370925</v>
      </c>
      <c r="J42">
        <v>7758340</v>
      </c>
      <c r="K42" t="str">
        <f>"ID_"&amp;J42</f>
        <v>ID_7758340</v>
      </c>
    </row>
    <row r="43" spans="1:11" x14ac:dyDescent="0.4">
      <c r="A43">
        <v>7772418</v>
      </c>
      <c r="B43" s="1" t="s">
        <v>40</v>
      </c>
      <c r="D43" s="1" t="s">
        <v>97</v>
      </c>
      <c r="E43" s="1">
        <v>1376611</v>
      </c>
      <c r="F43">
        <f t="shared" si="0"/>
        <v>7782710</v>
      </c>
      <c r="H43" t="s">
        <v>40</v>
      </c>
      <c r="I43">
        <v>1374201</v>
      </c>
      <c r="J43">
        <v>7772418</v>
      </c>
      <c r="K43" t="str">
        <f>"ID_"&amp;J43</f>
        <v>ID_7772418</v>
      </c>
    </row>
    <row r="44" spans="1:11" x14ac:dyDescent="0.4">
      <c r="A44">
        <v>7781354</v>
      </c>
      <c r="B44" s="1" t="s">
        <v>41</v>
      </c>
      <c r="D44" s="1" t="s">
        <v>98</v>
      </c>
      <c r="E44" s="1">
        <v>1376945</v>
      </c>
      <c r="F44">
        <f t="shared" si="0"/>
        <v>7784138</v>
      </c>
      <c r="H44" t="s">
        <v>41</v>
      </c>
      <c r="I44">
        <v>1376299</v>
      </c>
      <c r="J44">
        <v>7781354</v>
      </c>
      <c r="K44" t="str">
        <f>"ID_"&amp;J44</f>
        <v>ID_7781354</v>
      </c>
    </row>
    <row r="45" spans="1:11" x14ac:dyDescent="0.4">
      <c r="A45">
        <v>7782710</v>
      </c>
      <c r="B45" s="1" t="s">
        <v>42</v>
      </c>
      <c r="D45" s="1" t="s">
        <v>99</v>
      </c>
      <c r="E45" s="1">
        <v>1435542</v>
      </c>
      <c r="F45">
        <f t="shared" si="0"/>
        <v>7877066</v>
      </c>
      <c r="H45" t="s">
        <v>42</v>
      </c>
      <c r="I45">
        <v>1376611</v>
      </c>
      <c r="J45">
        <v>7782710</v>
      </c>
      <c r="K45" t="str">
        <f>"ID_"&amp;J45</f>
        <v>ID_7782710</v>
      </c>
    </row>
    <row r="46" spans="1:11" x14ac:dyDescent="0.4">
      <c r="A46">
        <v>7784138</v>
      </c>
      <c r="B46" s="1" t="s">
        <v>43</v>
      </c>
      <c r="D46" s="1" t="s">
        <v>100</v>
      </c>
      <c r="E46" s="1">
        <v>1481931</v>
      </c>
      <c r="F46">
        <f t="shared" si="0"/>
        <v>8160684</v>
      </c>
      <c r="H46" t="s">
        <v>43</v>
      </c>
      <c r="I46">
        <v>1376945</v>
      </c>
      <c r="J46">
        <v>7784138</v>
      </c>
      <c r="K46" t="str">
        <f>"ID_"&amp;J46</f>
        <v>ID_7784138</v>
      </c>
    </row>
    <row r="47" spans="1:11" x14ac:dyDescent="0.4">
      <c r="A47">
        <v>7877066</v>
      </c>
      <c r="B47" s="1" t="s">
        <v>44</v>
      </c>
      <c r="D47" s="1" t="s">
        <v>46</v>
      </c>
      <c r="E47" s="1">
        <v>1484223</v>
      </c>
      <c r="F47">
        <f t="shared" si="0"/>
        <v>8170966</v>
      </c>
      <c r="H47" t="s">
        <v>44</v>
      </c>
      <c r="I47">
        <v>1435542</v>
      </c>
      <c r="J47">
        <v>7877066</v>
      </c>
      <c r="K47" t="str">
        <f>"ID_"&amp;J47</f>
        <v>ID_7877066</v>
      </c>
    </row>
    <row r="48" spans="1:11" x14ac:dyDescent="0.4">
      <c r="A48">
        <v>8160684</v>
      </c>
      <c r="B48" s="1" t="s">
        <v>45</v>
      </c>
      <c r="D48" s="1" t="s">
        <v>101</v>
      </c>
      <c r="E48" s="1">
        <v>1484238</v>
      </c>
      <c r="F48">
        <f t="shared" si="0"/>
        <v>8171052</v>
      </c>
      <c r="H48" t="s">
        <v>45</v>
      </c>
      <c r="I48">
        <v>1481931</v>
      </c>
      <c r="J48">
        <v>8160684</v>
      </c>
      <c r="K48" t="str">
        <f>"ID_"&amp;J48</f>
        <v>ID_8160684</v>
      </c>
    </row>
    <row r="49" spans="1:11" x14ac:dyDescent="0.4">
      <c r="A49">
        <v>8170966</v>
      </c>
      <c r="B49" s="1" t="s">
        <v>46</v>
      </c>
      <c r="D49" s="1" t="s">
        <v>102</v>
      </c>
      <c r="E49" s="1">
        <v>1520548</v>
      </c>
      <c r="F49">
        <f t="shared" si="0"/>
        <v>6220835</v>
      </c>
      <c r="H49" t="s">
        <v>46</v>
      </c>
      <c r="I49">
        <v>1484223</v>
      </c>
      <c r="J49">
        <v>8170966</v>
      </c>
      <c r="K49" t="str">
        <f>"ID_"&amp;J49</f>
        <v>ID_8170966</v>
      </c>
    </row>
    <row r="50" spans="1:11" x14ac:dyDescent="0.4">
      <c r="A50">
        <v>8171052</v>
      </c>
      <c r="B50" s="1" t="s">
        <v>47</v>
      </c>
      <c r="D50" s="1" t="s">
        <v>32</v>
      </c>
      <c r="E50" s="1">
        <v>1521811</v>
      </c>
      <c r="F50">
        <f t="shared" si="0"/>
        <v>6224630</v>
      </c>
      <c r="H50" t="s">
        <v>47</v>
      </c>
      <c r="I50">
        <v>1484238</v>
      </c>
      <c r="J50">
        <v>8171052</v>
      </c>
      <c r="K50" t="str">
        <f>"ID_"&amp;J50</f>
        <v>ID_8171052</v>
      </c>
    </row>
    <row r="51" spans="1:11" x14ac:dyDescent="0.4">
      <c r="A51">
        <v>8574509</v>
      </c>
      <c r="B51" s="1" t="s">
        <v>48</v>
      </c>
      <c r="D51" s="1" t="s">
        <v>77</v>
      </c>
      <c r="E51" s="1">
        <v>1592398</v>
      </c>
      <c r="F51">
        <v>6595848</v>
      </c>
      <c r="H51" t="s">
        <v>48</v>
      </c>
      <c r="I51">
        <v>1800948</v>
      </c>
      <c r="J51">
        <v>8574509</v>
      </c>
      <c r="K51" t="str">
        <f>"ID_"&amp;J51</f>
        <v>ID_8574509</v>
      </c>
    </row>
    <row r="52" spans="1:11" x14ac:dyDescent="0.4">
      <c r="A52">
        <v>8574518</v>
      </c>
      <c r="B52" s="1" t="s">
        <v>49</v>
      </c>
      <c r="D52" s="1" t="s">
        <v>34</v>
      </c>
      <c r="E52" s="1">
        <v>1592412</v>
      </c>
      <c r="F52">
        <f t="shared" si="0"/>
        <v>6596003</v>
      </c>
      <c r="H52" t="s">
        <v>49</v>
      </c>
      <c r="I52">
        <v>1800951</v>
      </c>
      <c r="J52">
        <v>8574518</v>
      </c>
      <c r="K52" t="str">
        <f>"ID_"&amp;J52</f>
        <v>ID_8574518</v>
      </c>
    </row>
    <row r="53" spans="1:11" x14ac:dyDescent="0.4">
      <c r="A53">
        <v>8580994</v>
      </c>
      <c r="B53" s="1" t="s">
        <v>50</v>
      </c>
      <c r="D53" s="1" t="s">
        <v>103</v>
      </c>
      <c r="E53" s="1">
        <v>1782446</v>
      </c>
      <c r="F53">
        <f t="shared" si="0"/>
        <v>8630370</v>
      </c>
      <c r="H53" t="s">
        <v>50</v>
      </c>
      <c r="I53">
        <v>1786280</v>
      </c>
      <c r="J53">
        <v>8580994</v>
      </c>
      <c r="K53" t="str">
        <f>"ID_"&amp;J53</f>
        <v>ID_8580994</v>
      </c>
    </row>
    <row r="54" spans="1:11" x14ac:dyDescent="0.4">
      <c r="A54">
        <v>8589691</v>
      </c>
      <c r="B54" s="1" t="s">
        <v>51</v>
      </c>
      <c r="D54" s="1" t="s">
        <v>58</v>
      </c>
      <c r="E54" s="1">
        <v>1782493</v>
      </c>
      <c r="F54">
        <f t="shared" si="0"/>
        <v>8628402</v>
      </c>
      <c r="H54" t="s">
        <v>51</v>
      </c>
      <c r="I54">
        <v>1791417</v>
      </c>
      <c r="J54">
        <v>8589691</v>
      </c>
      <c r="K54" t="str">
        <f>"ID_"&amp;J54</f>
        <v>ID_8589691</v>
      </c>
    </row>
    <row r="55" spans="1:11" x14ac:dyDescent="0.4">
      <c r="A55">
        <v>8590145</v>
      </c>
      <c r="B55" s="1" t="s">
        <v>52</v>
      </c>
      <c r="D55" s="1" t="s">
        <v>61</v>
      </c>
      <c r="E55" s="1">
        <v>1785840</v>
      </c>
      <c r="F55">
        <f t="shared" si="0"/>
        <v>8640608</v>
      </c>
      <c r="H55" t="s">
        <v>52</v>
      </c>
      <c r="I55">
        <v>1792928</v>
      </c>
      <c r="J55">
        <v>8590145</v>
      </c>
      <c r="K55" t="str">
        <f>"ID_"&amp;J55</f>
        <v>ID_8590145</v>
      </c>
    </row>
    <row r="56" spans="1:11" x14ac:dyDescent="0.4">
      <c r="A56">
        <v>8591558</v>
      </c>
      <c r="B56" s="1" t="s">
        <v>53</v>
      </c>
      <c r="D56" s="1" t="s">
        <v>55</v>
      </c>
      <c r="E56" s="1">
        <v>1786142</v>
      </c>
      <c r="F56">
        <f t="shared" si="0"/>
        <v>8610083</v>
      </c>
      <c r="H56" t="s">
        <v>53</v>
      </c>
      <c r="I56">
        <v>1799591</v>
      </c>
      <c r="J56">
        <v>8591558</v>
      </c>
      <c r="K56" t="str">
        <f>"ID_"&amp;J56</f>
        <v>ID_8591558</v>
      </c>
    </row>
    <row r="57" spans="1:11" x14ac:dyDescent="0.4">
      <c r="A57">
        <v>8591694</v>
      </c>
      <c r="B57" s="1" t="s">
        <v>54</v>
      </c>
      <c r="D57" s="1" t="s">
        <v>104</v>
      </c>
      <c r="E57" s="1">
        <v>1786280</v>
      </c>
      <c r="F57">
        <f t="shared" si="0"/>
        <v>8580994</v>
      </c>
      <c r="H57" t="s">
        <v>54</v>
      </c>
      <c r="I57">
        <v>1800654</v>
      </c>
      <c r="J57">
        <v>8591694</v>
      </c>
      <c r="K57" t="str">
        <f>"ID_"&amp;J57</f>
        <v>ID_8591694</v>
      </c>
    </row>
    <row r="58" spans="1:11" x14ac:dyDescent="0.4">
      <c r="A58">
        <v>8610083</v>
      </c>
      <c r="B58" s="1" t="s">
        <v>55</v>
      </c>
      <c r="D58" s="1" t="s">
        <v>51</v>
      </c>
      <c r="E58" s="1">
        <v>1791417</v>
      </c>
      <c r="F58">
        <f t="shared" si="0"/>
        <v>8589691</v>
      </c>
      <c r="H58" t="s">
        <v>55</v>
      </c>
      <c r="I58">
        <v>1786142</v>
      </c>
      <c r="J58">
        <v>8610083</v>
      </c>
      <c r="K58" t="str">
        <f>"ID_"&amp;J58</f>
        <v>ID_8610083</v>
      </c>
    </row>
    <row r="59" spans="1:11" x14ac:dyDescent="0.4">
      <c r="A59">
        <v>8619087</v>
      </c>
      <c r="B59" s="1" t="s">
        <v>56</v>
      </c>
      <c r="D59" s="1" t="s">
        <v>105</v>
      </c>
      <c r="E59" s="1">
        <v>1791780</v>
      </c>
      <c r="F59">
        <f t="shared" si="0"/>
        <v>8633536</v>
      </c>
      <c r="H59" t="s">
        <v>56</v>
      </c>
      <c r="I59">
        <v>1799713</v>
      </c>
      <c r="J59">
        <v>8619087</v>
      </c>
      <c r="K59" t="str">
        <f>"ID_"&amp;J59</f>
        <v>ID_8619087</v>
      </c>
    </row>
    <row r="60" spans="1:11" x14ac:dyDescent="0.4">
      <c r="A60">
        <v>8627462</v>
      </c>
      <c r="B60" s="1" t="s">
        <v>57</v>
      </c>
      <c r="D60" s="1" t="s">
        <v>52</v>
      </c>
      <c r="E60" s="1">
        <v>1792928</v>
      </c>
      <c r="F60">
        <f t="shared" si="0"/>
        <v>8590145</v>
      </c>
      <c r="H60" t="s">
        <v>57</v>
      </c>
      <c r="I60">
        <v>1799735</v>
      </c>
      <c r="J60">
        <v>8627462</v>
      </c>
      <c r="K60" t="str">
        <f>"ID_"&amp;J60</f>
        <v>ID_8627462</v>
      </c>
    </row>
    <row r="61" spans="1:11" x14ac:dyDescent="0.4">
      <c r="A61">
        <v>8628402</v>
      </c>
      <c r="B61" s="1" t="s">
        <v>58</v>
      </c>
      <c r="D61" s="1" t="s">
        <v>106</v>
      </c>
      <c r="E61" s="1">
        <v>1797420</v>
      </c>
      <c r="F61">
        <f t="shared" si="0"/>
        <v>8643631</v>
      </c>
      <c r="H61" t="s">
        <v>58</v>
      </c>
      <c r="I61">
        <v>1782493</v>
      </c>
      <c r="J61">
        <v>8628402</v>
      </c>
      <c r="K61" t="str">
        <f>"ID_"&amp;J61</f>
        <v>ID_8628402</v>
      </c>
    </row>
    <row r="62" spans="1:11" x14ac:dyDescent="0.4">
      <c r="A62">
        <v>8630370</v>
      </c>
      <c r="B62" s="1" t="s">
        <v>59</v>
      </c>
      <c r="D62" s="1" t="s">
        <v>53</v>
      </c>
      <c r="E62" s="1">
        <v>1799591</v>
      </c>
      <c r="F62">
        <f t="shared" si="0"/>
        <v>8591558</v>
      </c>
      <c r="H62" t="s">
        <v>59</v>
      </c>
      <c r="I62">
        <v>1782446</v>
      </c>
      <c r="J62">
        <v>8630370</v>
      </c>
      <c r="K62" t="str">
        <f>"ID_"&amp;J62</f>
        <v>ID_8630370</v>
      </c>
    </row>
    <row r="63" spans="1:11" x14ac:dyDescent="0.4">
      <c r="A63">
        <v>8633536</v>
      </c>
      <c r="B63" s="1" t="s">
        <v>60</v>
      </c>
      <c r="D63" s="1" t="s">
        <v>107</v>
      </c>
      <c r="E63" s="1">
        <v>1799713</v>
      </c>
      <c r="F63">
        <f t="shared" si="0"/>
        <v>8619087</v>
      </c>
      <c r="H63" t="s">
        <v>60</v>
      </c>
      <c r="I63">
        <v>1791780</v>
      </c>
      <c r="J63">
        <v>8633536</v>
      </c>
      <c r="K63" t="str">
        <f>"ID_"&amp;J63</f>
        <v>ID_8633536</v>
      </c>
    </row>
    <row r="64" spans="1:11" x14ac:dyDescent="0.4">
      <c r="A64">
        <v>8640608</v>
      </c>
      <c r="B64" s="1" t="s">
        <v>61</v>
      </c>
      <c r="D64" s="1" t="s">
        <v>57</v>
      </c>
      <c r="E64" s="1">
        <v>1799735</v>
      </c>
      <c r="F64">
        <f t="shared" si="0"/>
        <v>8627462</v>
      </c>
      <c r="H64" t="s">
        <v>61</v>
      </c>
      <c r="I64">
        <v>1785840</v>
      </c>
      <c r="J64">
        <v>8640608</v>
      </c>
      <c r="K64" t="str">
        <f>"ID_"&amp;J64</f>
        <v>ID_8640608</v>
      </c>
    </row>
    <row r="65" spans="1:11" x14ac:dyDescent="0.4">
      <c r="A65">
        <v>8643631</v>
      </c>
      <c r="B65" s="1" t="s">
        <v>62</v>
      </c>
      <c r="D65" s="1" t="s">
        <v>54</v>
      </c>
      <c r="E65" s="1">
        <v>1800654</v>
      </c>
      <c r="F65">
        <f t="shared" si="0"/>
        <v>8591694</v>
      </c>
      <c r="H65" t="s">
        <v>62</v>
      </c>
      <c r="I65">
        <v>1797420</v>
      </c>
      <c r="J65">
        <v>8643631</v>
      </c>
      <c r="K65" t="str">
        <f>"ID_"&amp;J65</f>
        <v>ID_8643631</v>
      </c>
    </row>
    <row r="66" spans="1:11" x14ac:dyDescent="0.4">
      <c r="A66">
        <v>9338047</v>
      </c>
      <c r="B66" s="1" t="s">
        <v>62</v>
      </c>
      <c r="D66" s="1" t="s">
        <v>108</v>
      </c>
      <c r="E66" s="1">
        <v>1800948</v>
      </c>
      <c r="F66">
        <f t="shared" si="0"/>
        <v>8574509</v>
      </c>
      <c r="H66" t="s">
        <v>79</v>
      </c>
      <c r="I66">
        <v>1972152</v>
      </c>
      <c r="J66">
        <v>9338047</v>
      </c>
      <c r="K66" t="str">
        <f>"ID_"&amp;J66</f>
        <v>ID_9338047</v>
      </c>
    </row>
    <row r="67" spans="1:11" x14ac:dyDescent="0.4">
      <c r="A67">
        <v>9344004</v>
      </c>
      <c r="B67" s="1" t="s">
        <v>63</v>
      </c>
      <c r="D67" s="1" t="s">
        <v>49</v>
      </c>
      <c r="E67" s="1">
        <v>1800951</v>
      </c>
      <c r="F67">
        <f t="shared" ref="F67:F76" si="1">IFERROR(INDEX(A:A, MATCH(D67, B:B, 0)), "Not found")</f>
        <v>8574518</v>
      </c>
      <c r="H67" t="s">
        <v>63</v>
      </c>
      <c r="I67">
        <v>1964214</v>
      </c>
      <c r="J67">
        <v>9344004</v>
      </c>
      <c r="K67" t="str">
        <f>"ID_"&amp;J67</f>
        <v>ID_9344004</v>
      </c>
    </row>
    <row r="68" spans="1:11" x14ac:dyDescent="0.4">
      <c r="A68">
        <v>9366764</v>
      </c>
      <c r="B68" s="1" t="s">
        <v>64</v>
      </c>
      <c r="D68" s="1" t="s">
        <v>64</v>
      </c>
      <c r="E68" s="1">
        <v>1927690</v>
      </c>
      <c r="F68">
        <f t="shared" si="1"/>
        <v>9366764</v>
      </c>
      <c r="H68" t="s">
        <v>64</v>
      </c>
      <c r="I68">
        <v>1927690</v>
      </c>
      <c r="J68">
        <v>9366764</v>
      </c>
      <c r="K68" t="str">
        <f>"ID_"&amp;J68</f>
        <v>ID_9366764</v>
      </c>
    </row>
    <row r="69" spans="1:11" x14ac:dyDescent="0.4">
      <c r="A69">
        <v>9581426</v>
      </c>
      <c r="B69" s="1" t="s">
        <v>65</v>
      </c>
      <c r="D69" s="1" t="s">
        <v>109</v>
      </c>
      <c r="E69" s="1">
        <v>1964214</v>
      </c>
      <c r="F69">
        <f t="shared" si="1"/>
        <v>9344004</v>
      </c>
      <c r="H69" t="s">
        <v>65</v>
      </c>
      <c r="I69">
        <v>2015273</v>
      </c>
      <c r="J69">
        <v>9581426</v>
      </c>
      <c r="K69" t="str">
        <f>"ID_"&amp;J69</f>
        <v>ID_9581426</v>
      </c>
    </row>
    <row r="70" spans="1:11" x14ac:dyDescent="0.4">
      <c r="A70">
        <v>9668647</v>
      </c>
      <c r="B70" s="1" t="s">
        <v>66</v>
      </c>
      <c r="D70" s="1" t="s">
        <v>80</v>
      </c>
      <c r="E70" s="1">
        <v>1972152</v>
      </c>
      <c r="F70">
        <v>9338047</v>
      </c>
      <c r="H70" t="s">
        <v>66</v>
      </c>
      <c r="I70">
        <v>2021641</v>
      </c>
      <c r="J70">
        <v>9668647</v>
      </c>
      <c r="K70" t="str">
        <f>"ID_"&amp;J70</f>
        <v>ID_9668647</v>
      </c>
    </row>
    <row r="71" spans="1:11" x14ac:dyDescent="0.4">
      <c r="A71">
        <v>9690412</v>
      </c>
      <c r="B71" s="1" t="s">
        <v>67</v>
      </c>
      <c r="D71" s="1" t="s">
        <v>110</v>
      </c>
      <c r="E71" s="1">
        <v>2015273</v>
      </c>
      <c r="F71">
        <f t="shared" si="1"/>
        <v>9581426</v>
      </c>
      <c r="H71" t="s">
        <v>67</v>
      </c>
      <c r="I71">
        <v>2026782</v>
      </c>
      <c r="J71">
        <v>9690412</v>
      </c>
      <c r="K71" t="str">
        <f>"ID_"&amp;J71</f>
        <v>ID_9690412</v>
      </c>
    </row>
    <row r="72" spans="1:11" x14ac:dyDescent="0.4">
      <c r="A72">
        <v>9695507</v>
      </c>
      <c r="B72" s="1" t="s">
        <v>68</v>
      </c>
      <c r="D72" s="1" t="s">
        <v>66</v>
      </c>
      <c r="E72" s="1">
        <v>2021641</v>
      </c>
      <c r="F72">
        <f t="shared" si="1"/>
        <v>9668647</v>
      </c>
      <c r="H72" t="s">
        <v>68</v>
      </c>
      <c r="I72">
        <v>2026745</v>
      </c>
      <c r="J72">
        <v>9695507</v>
      </c>
      <c r="K72" t="str">
        <f>"ID_"&amp;J72</f>
        <v>ID_9695507</v>
      </c>
    </row>
    <row r="73" spans="1:11" x14ac:dyDescent="0.4">
      <c r="A73">
        <v>9713237</v>
      </c>
      <c r="B73" s="1" t="s">
        <v>69</v>
      </c>
      <c r="D73" s="1" t="s">
        <v>69</v>
      </c>
      <c r="E73" s="1">
        <v>2026318</v>
      </c>
      <c r="F73">
        <f t="shared" si="1"/>
        <v>9713237</v>
      </c>
      <c r="H73" t="s">
        <v>69</v>
      </c>
      <c r="I73">
        <v>2026318</v>
      </c>
      <c r="J73">
        <v>9713237</v>
      </c>
      <c r="K73" t="str">
        <f>"ID_"&amp;J73</f>
        <v>ID_9713237</v>
      </c>
    </row>
    <row r="74" spans="1:11" x14ac:dyDescent="0.4">
      <c r="A74">
        <v>9718882</v>
      </c>
      <c r="B74" s="1" t="s">
        <v>70</v>
      </c>
      <c r="D74" s="1" t="s">
        <v>68</v>
      </c>
      <c r="E74" s="1">
        <v>2026745</v>
      </c>
      <c r="F74">
        <f t="shared" si="1"/>
        <v>9695507</v>
      </c>
      <c r="H74" t="s">
        <v>70</v>
      </c>
      <c r="I74">
        <v>2052201</v>
      </c>
      <c r="J74">
        <v>9718882</v>
      </c>
      <c r="K74" t="str">
        <f>"ID_"&amp;J74</f>
        <v>ID_9718882</v>
      </c>
    </row>
    <row r="75" spans="1:11" x14ac:dyDescent="0.4">
      <c r="A75">
        <v>9777027</v>
      </c>
      <c r="B75" s="1" t="s">
        <v>71</v>
      </c>
      <c r="D75" s="1" t="s">
        <v>67</v>
      </c>
      <c r="E75" s="1">
        <v>2026782</v>
      </c>
      <c r="F75">
        <f t="shared" si="1"/>
        <v>9690412</v>
      </c>
      <c r="H75" t="s">
        <v>71</v>
      </c>
      <c r="I75">
        <v>662927</v>
      </c>
      <c r="J75">
        <v>9777027</v>
      </c>
      <c r="K75" t="str">
        <f>"ID_"&amp;J75</f>
        <v>ID_9777027</v>
      </c>
    </row>
    <row r="76" spans="1:11" x14ac:dyDescent="0.4">
      <c r="A76">
        <v>9993021</v>
      </c>
      <c r="B76" s="1" t="s">
        <v>72</v>
      </c>
      <c r="D76" s="1" t="s">
        <v>70</v>
      </c>
      <c r="E76" s="1">
        <v>2052201</v>
      </c>
      <c r="F76">
        <f t="shared" si="1"/>
        <v>9718882</v>
      </c>
      <c r="H76" t="s">
        <v>72</v>
      </c>
      <c r="I76">
        <v>684832</v>
      </c>
      <c r="J76">
        <v>9993021</v>
      </c>
      <c r="K76" t="str">
        <f>"ID_"&amp;J76</f>
        <v>ID_9993021</v>
      </c>
    </row>
  </sheetData>
  <sortState xmlns:xlrd2="http://schemas.microsoft.com/office/spreadsheetml/2017/richdata2" ref="H2:K76">
    <sortCondition ref="K2:K7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2025-04-10T03:31:43Z</dcterms:modified>
</cp:coreProperties>
</file>